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DCF Valuations\Hindustan Unilever (May 2025)\"/>
    </mc:Choice>
  </mc:AlternateContent>
  <bookViews>
    <workbookView xWindow="0" yWindow="0" windowWidth="19200" windowHeight="7310" activeTab="2"/>
  </bookViews>
  <sheets>
    <sheet name="DCF --&gt;" sheetId="16" r:id="rId1"/>
    <sheet name="Dcf" sheetId="12" r:id="rId2"/>
    <sheet name="WACC" sheetId="15" r:id="rId3"/>
    <sheet name="Financials -&gt;" sheetId="2" r:id="rId4"/>
    <sheet name="HistoricalFS" sheetId="3" r:id="rId5"/>
    <sheet name="Ratio analysis" sheetId="7" r:id="rId6"/>
    <sheet name="Forecasting growth" sheetId="8" r:id="rId7"/>
    <sheet name="Intrinsic Growth" sheetId="14" r:id="rId8"/>
    <sheet name="FCFF Line Items forecast" sheetId="11" r:id="rId9"/>
    <sheet name="FCFF" sheetId="4" r:id="rId10"/>
    <sheet name="Data -&gt;" sheetId="10" r:id="rId11"/>
    <sheet name="Data Sheet" sheetId="1" r:id="rId12"/>
    <sheet name="Raw Cash Flow Data" sheetId="6" r:id="rId13"/>
    <sheet name="Raw BS data" sheetId="13" r:id="rId14"/>
  </sheets>
  <externalReferences>
    <externalReference r:id="rId15"/>
  </externalReferences>
  <definedNames>
    <definedName name="UPDATE">'Data Sheet'!$E$1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2" l="1"/>
  <c r="J31" i="15"/>
  <c r="C30" i="15"/>
  <c r="C29" i="15"/>
  <c r="J22" i="15"/>
  <c r="E22" i="15"/>
  <c r="E24" i="15" s="1"/>
  <c r="D37" i="15" s="1"/>
  <c r="I17" i="15"/>
  <c r="F17" i="15"/>
  <c r="I16" i="15"/>
  <c r="F16" i="15"/>
  <c r="H14" i="15"/>
  <c r="G14" i="15"/>
  <c r="J14" i="15" s="1"/>
  <c r="H13" i="15"/>
  <c r="G13" i="15"/>
  <c r="J13" i="15" s="1"/>
  <c r="H12" i="15"/>
  <c r="G12" i="15"/>
  <c r="J12" i="15" s="1"/>
  <c r="H11" i="15"/>
  <c r="G11" i="15"/>
  <c r="J11" i="15" s="1"/>
  <c r="J10" i="15"/>
  <c r="H10" i="15"/>
  <c r="H17" i="15" s="1"/>
  <c r="G10" i="15"/>
  <c r="G16" i="15" s="1"/>
  <c r="J17" i="15" l="1"/>
  <c r="J29" i="15" s="1"/>
  <c r="D30" i="15"/>
  <c r="H16" i="15"/>
  <c r="E29" i="15" s="1"/>
  <c r="J16" i="15"/>
  <c r="G17" i="15"/>
  <c r="C31" i="15"/>
  <c r="D29" i="15" s="1"/>
  <c r="D31" i="15" l="1"/>
  <c r="D33" i="15"/>
  <c r="E37" i="15"/>
  <c r="E30" i="15"/>
  <c r="E38" i="15" s="1"/>
  <c r="C15" i="12"/>
  <c r="D53" i="14"/>
  <c r="C40" i="14"/>
  <c r="E33" i="15" l="1"/>
  <c r="J30" i="15" s="1"/>
  <c r="J32" i="15" s="1"/>
  <c r="J24" i="15" s="1"/>
  <c r="J25" i="15" s="1"/>
  <c r="D38" i="15" s="1"/>
  <c r="E39" i="15" s="1"/>
  <c r="G24" i="11"/>
  <c r="F24" i="11"/>
  <c r="E24" i="11"/>
  <c r="H23" i="11"/>
  <c r="I23" i="11"/>
  <c r="D23" i="11"/>
  <c r="E23" i="11"/>
  <c r="F23" i="11"/>
  <c r="G23" i="11"/>
  <c r="C23" i="11"/>
  <c r="H27" i="11"/>
  <c r="G27" i="11"/>
  <c r="F27" i="11"/>
  <c r="E27" i="11"/>
  <c r="D27" i="11"/>
  <c r="D26" i="11"/>
  <c r="E26" i="11"/>
  <c r="F26" i="11"/>
  <c r="G26" i="11"/>
  <c r="H26" i="11"/>
  <c r="C26" i="11"/>
  <c r="C35" i="14" l="1"/>
  <c r="C18" i="14"/>
  <c r="E40" i="14"/>
  <c r="D35" i="14"/>
  <c r="D40" i="14" s="1"/>
  <c r="E35" i="14"/>
  <c r="F35" i="14"/>
  <c r="F40" i="14" s="1"/>
  <c r="G35" i="14"/>
  <c r="H35" i="14"/>
  <c r="I35" i="14"/>
  <c r="J35" i="14"/>
  <c r="K35" i="14"/>
  <c r="L35" i="14"/>
  <c r="L40" i="14" s="1"/>
  <c r="G40" i="14"/>
  <c r="H40" i="14"/>
  <c r="I40" i="14"/>
  <c r="J40" i="14"/>
  <c r="K40" i="14"/>
  <c r="D38" i="14"/>
  <c r="E38" i="14"/>
  <c r="F38" i="14"/>
  <c r="G38" i="14"/>
  <c r="H38" i="14"/>
  <c r="I38" i="14"/>
  <c r="J38" i="14"/>
  <c r="K38" i="14"/>
  <c r="L38" i="14"/>
  <c r="C38" i="14"/>
  <c r="G45" i="14"/>
  <c r="F45" i="14"/>
  <c r="E45" i="14"/>
  <c r="D45" i="14"/>
  <c r="C45" i="14"/>
  <c r="G36" i="14"/>
  <c r="G48" i="14" s="1"/>
  <c r="G50" i="14" s="1"/>
  <c r="F36" i="14"/>
  <c r="F48" i="14" s="1"/>
  <c r="F50" i="14" s="1"/>
  <c r="E36" i="14"/>
  <c r="E48" i="14" s="1"/>
  <c r="E50" i="14" s="1"/>
  <c r="D36" i="14"/>
  <c r="D48" i="14" s="1"/>
  <c r="D50" i="14" s="1"/>
  <c r="C36" i="14"/>
  <c r="G32" i="14"/>
  <c r="F32" i="14"/>
  <c r="E32" i="14"/>
  <c r="D32" i="14"/>
  <c r="C32" i="14"/>
  <c r="G31" i="14"/>
  <c r="F31" i="14"/>
  <c r="E31" i="14"/>
  <c r="D31" i="14"/>
  <c r="D33" i="14" s="1"/>
  <c r="C31" i="14"/>
  <c r="C33" i="14" s="1"/>
  <c r="G30" i="14"/>
  <c r="F30" i="14"/>
  <c r="E30" i="14"/>
  <c r="D30" i="14"/>
  <c r="C30" i="14"/>
  <c r="G29" i="14"/>
  <c r="F29" i="14"/>
  <c r="E29" i="14"/>
  <c r="D29" i="14"/>
  <c r="C29" i="14"/>
  <c r="G28" i="14"/>
  <c r="F28" i="14"/>
  <c r="E28" i="14"/>
  <c r="D28" i="14"/>
  <c r="C28" i="14"/>
  <c r="G27" i="14"/>
  <c r="F27" i="14"/>
  <c r="E27" i="14"/>
  <c r="D27" i="14"/>
  <c r="C27" i="14"/>
  <c r="G26" i="14"/>
  <c r="F26" i="14"/>
  <c r="E26" i="14"/>
  <c r="D26" i="14"/>
  <c r="C26" i="14"/>
  <c r="G25" i="14"/>
  <c r="F25" i="14"/>
  <c r="E25" i="14"/>
  <c r="D25" i="14"/>
  <c r="C25" i="14"/>
  <c r="G24" i="14"/>
  <c r="F24" i="14"/>
  <c r="E24" i="14"/>
  <c r="D24" i="14"/>
  <c r="C24" i="14"/>
  <c r="G23" i="14"/>
  <c r="F23" i="14"/>
  <c r="E23" i="14"/>
  <c r="D23" i="14"/>
  <c r="C23" i="14"/>
  <c r="G22" i="14"/>
  <c r="F22" i="14"/>
  <c r="E22" i="14"/>
  <c r="D22" i="14"/>
  <c r="C22" i="14"/>
  <c r="C14" i="14"/>
  <c r="D14" i="14"/>
  <c r="E14" i="14"/>
  <c r="E16" i="14" s="1"/>
  <c r="F14" i="14"/>
  <c r="G14" i="14"/>
  <c r="C15" i="14"/>
  <c r="D15" i="14"/>
  <c r="E15" i="14"/>
  <c r="F15" i="14"/>
  <c r="G15" i="14"/>
  <c r="D13" i="14"/>
  <c r="D16" i="14" s="1"/>
  <c r="E13" i="14"/>
  <c r="F13" i="14"/>
  <c r="G13" i="14"/>
  <c r="G16" i="14" s="1"/>
  <c r="C13" i="14"/>
  <c r="C9" i="14"/>
  <c r="D9" i="14"/>
  <c r="E9" i="14"/>
  <c r="F9" i="14"/>
  <c r="G9" i="14"/>
  <c r="D8" i="14"/>
  <c r="E8" i="14"/>
  <c r="F8" i="14"/>
  <c r="G8" i="14"/>
  <c r="C8" i="14"/>
  <c r="C7" i="14"/>
  <c r="D7" i="14"/>
  <c r="E7" i="14"/>
  <c r="F7" i="14"/>
  <c r="G7" i="14"/>
  <c r="H7" i="14"/>
  <c r="D6" i="14"/>
  <c r="E6" i="14"/>
  <c r="E10" i="14" s="1"/>
  <c r="F6" i="14"/>
  <c r="G6" i="14"/>
  <c r="G10" i="14" s="1"/>
  <c r="G18" i="14" s="1"/>
  <c r="H6" i="14"/>
  <c r="C6" i="14"/>
  <c r="C10" i="14" s="1"/>
  <c r="C12" i="4"/>
  <c r="H24" i="11"/>
  <c r="I45" i="14"/>
  <c r="J45" i="14"/>
  <c r="J26" i="11" s="1"/>
  <c r="E13" i="4" s="1"/>
  <c r="K45" i="14"/>
  <c r="K26" i="11" s="1"/>
  <c r="F13" i="4" s="1"/>
  <c r="L45" i="14"/>
  <c r="L26" i="11" s="1"/>
  <c r="G13" i="4" s="1"/>
  <c r="H45" i="14"/>
  <c r="C13" i="4" s="1"/>
  <c r="L43" i="14"/>
  <c r="K43" i="14"/>
  <c r="J43" i="14"/>
  <c r="I43" i="14"/>
  <c r="H43" i="14"/>
  <c r="G43" i="14" s="1"/>
  <c r="F43" i="14" s="1"/>
  <c r="E43" i="14" s="1"/>
  <c r="D43" i="14" s="1"/>
  <c r="C43" i="14" s="1"/>
  <c r="L3" i="14"/>
  <c r="K3" i="14"/>
  <c r="I3" i="14"/>
  <c r="J3" i="14"/>
  <c r="H3" i="14"/>
  <c r="G3" i="14" s="1"/>
  <c r="F3" i="14" s="1"/>
  <c r="E3" i="14" s="1"/>
  <c r="D3" i="14" s="1"/>
  <c r="C3" i="14" s="1"/>
  <c r="I36" i="14"/>
  <c r="I48" i="14" s="1"/>
  <c r="I50" i="14" s="1"/>
  <c r="J36" i="14"/>
  <c r="J48" i="14" s="1"/>
  <c r="J50" i="14" s="1"/>
  <c r="K36" i="14"/>
  <c r="K48" i="14" s="1"/>
  <c r="K50" i="14" s="1"/>
  <c r="L36" i="14"/>
  <c r="L48" i="14" s="1"/>
  <c r="L50" i="14" s="1"/>
  <c r="H36" i="14"/>
  <c r="H48" i="14" s="1"/>
  <c r="H50" i="14" s="1"/>
  <c r="N25" i="13"/>
  <c r="L32" i="14" s="1"/>
  <c r="N24" i="13"/>
  <c r="N23" i="13"/>
  <c r="L30" i="14" s="1"/>
  <c r="I32" i="14"/>
  <c r="J32" i="14"/>
  <c r="K32" i="14"/>
  <c r="H32" i="14"/>
  <c r="H23" i="14"/>
  <c r="I23" i="14"/>
  <c r="J23" i="14"/>
  <c r="K23" i="14"/>
  <c r="L23" i="14"/>
  <c r="H24" i="14"/>
  <c r="I24" i="14"/>
  <c r="J24" i="14"/>
  <c r="K24" i="14"/>
  <c r="L24" i="14"/>
  <c r="H25" i="14"/>
  <c r="I25" i="14"/>
  <c r="J25" i="14"/>
  <c r="K25" i="14"/>
  <c r="L25" i="14"/>
  <c r="H26" i="14"/>
  <c r="I26" i="14"/>
  <c r="J26" i="14"/>
  <c r="K26" i="14"/>
  <c r="L26" i="14"/>
  <c r="H27" i="14"/>
  <c r="I27" i="14"/>
  <c r="J27" i="14"/>
  <c r="K27" i="14"/>
  <c r="L27" i="14"/>
  <c r="H28" i="14"/>
  <c r="I28" i="14"/>
  <c r="J28" i="14"/>
  <c r="K28" i="14"/>
  <c r="L28" i="14"/>
  <c r="H29" i="14"/>
  <c r="I29" i="14"/>
  <c r="J29" i="14"/>
  <c r="K29" i="14"/>
  <c r="L29" i="14"/>
  <c r="H30" i="14"/>
  <c r="I30" i="14"/>
  <c r="J30" i="14"/>
  <c r="K30" i="14"/>
  <c r="H31" i="14"/>
  <c r="I31" i="14"/>
  <c r="J31" i="14"/>
  <c r="K31" i="14"/>
  <c r="L31" i="14"/>
  <c r="I22" i="14"/>
  <c r="J22" i="14"/>
  <c r="K22" i="14"/>
  <c r="L22" i="14"/>
  <c r="H22" i="14"/>
  <c r="B22" i="14"/>
  <c r="B23" i="14"/>
  <c r="B24" i="14"/>
  <c r="B25" i="14"/>
  <c r="B26" i="14"/>
  <c r="B27" i="14"/>
  <c r="B28" i="14"/>
  <c r="B29" i="14"/>
  <c r="B30" i="14"/>
  <c r="B31" i="14"/>
  <c r="B32" i="14"/>
  <c r="B21" i="14"/>
  <c r="I13" i="14"/>
  <c r="J13" i="14"/>
  <c r="K13" i="14"/>
  <c r="L13" i="14"/>
  <c r="I14" i="14"/>
  <c r="J14" i="14"/>
  <c r="K14" i="14"/>
  <c r="L14" i="14"/>
  <c r="I15" i="14"/>
  <c r="J15" i="14"/>
  <c r="K15" i="14"/>
  <c r="L15" i="14"/>
  <c r="H14" i="14"/>
  <c r="H15" i="14"/>
  <c r="H13" i="14"/>
  <c r="B14" i="14"/>
  <c r="B15" i="14"/>
  <c r="B13" i="14"/>
  <c r="H9" i="14"/>
  <c r="I9" i="14"/>
  <c r="J9" i="14"/>
  <c r="K9" i="14"/>
  <c r="L9" i="14"/>
  <c r="I8" i="14"/>
  <c r="J8" i="14"/>
  <c r="K8" i="14"/>
  <c r="L8" i="14"/>
  <c r="H8" i="14"/>
  <c r="I7" i="14"/>
  <c r="J7" i="14"/>
  <c r="K7" i="14"/>
  <c r="L7" i="14"/>
  <c r="I6" i="14"/>
  <c r="J6" i="14"/>
  <c r="K6" i="14"/>
  <c r="L6" i="14"/>
  <c r="B7" i="14"/>
  <c r="B8" i="14"/>
  <c r="B9" i="14"/>
  <c r="B6" i="14"/>
  <c r="F10" i="14" l="1"/>
  <c r="E18" i="14"/>
  <c r="D10" i="14"/>
  <c r="D18" i="14" s="1"/>
  <c r="E33" i="14"/>
  <c r="F33" i="14"/>
  <c r="C16" i="14"/>
  <c r="C55" i="14" s="1"/>
  <c r="G33" i="14"/>
  <c r="G55" i="14" s="1"/>
  <c r="F16" i="14"/>
  <c r="F18" i="14"/>
  <c r="F46" i="14" s="1"/>
  <c r="F52" i="14" s="1"/>
  <c r="F53" i="14" s="1"/>
  <c r="D55" i="14"/>
  <c r="F55" i="14"/>
  <c r="F57" i="14" s="1"/>
  <c r="C48" i="14"/>
  <c r="C50" i="14" s="1"/>
  <c r="E55" i="14"/>
  <c r="K33" i="14"/>
  <c r="I26" i="11"/>
  <c r="D13" i="4" s="1"/>
  <c r="J33" i="14"/>
  <c r="I33" i="14"/>
  <c r="L33" i="14"/>
  <c r="H33" i="14"/>
  <c r="I16" i="14"/>
  <c r="L10" i="14"/>
  <c r="L16" i="14"/>
  <c r="K16" i="14"/>
  <c r="J16" i="14"/>
  <c r="I10" i="14"/>
  <c r="J10" i="14"/>
  <c r="H16" i="14"/>
  <c r="K10" i="14"/>
  <c r="H10" i="14"/>
  <c r="C23" i="12"/>
  <c r="M9" i="12"/>
  <c r="D46" i="14" l="1"/>
  <c r="D52" i="14" s="1"/>
  <c r="G46" i="14"/>
  <c r="G52" i="14" s="1"/>
  <c r="G53" i="14" s="1"/>
  <c r="E46" i="14"/>
  <c r="E52" i="14" s="1"/>
  <c r="E53" i="14" s="1"/>
  <c r="E57" i="14" s="1"/>
  <c r="D57" i="14"/>
  <c r="G57" i="14"/>
  <c r="K18" i="14"/>
  <c r="I18" i="14"/>
  <c r="L18" i="14"/>
  <c r="J18" i="14"/>
  <c r="H18" i="14"/>
  <c r="H55" i="14" l="1"/>
  <c r="H46" i="14"/>
  <c r="H52" i="14" s="1"/>
  <c r="H53" i="14" s="1"/>
  <c r="J55" i="14"/>
  <c r="J46" i="14"/>
  <c r="K55" i="14"/>
  <c r="K46" i="14"/>
  <c r="L55" i="14"/>
  <c r="L46" i="14"/>
  <c r="I55" i="14"/>
  <c r="I46" i="14"/>
  <c r="H9" i="12"/>
  <c r="I9" i="12"/>
  <c r="J9" i="12"/>
  <c r="K9" i="12"/>
  <c r="G9" i="12"/>
  <c r="H57" i="14" l="1"/>
  <c r="I52" i="14"/>
  <c r="I53" i="14" s="1"/>
  <c r="I57" i="14" s="1"/>
  <c r="K52" i="14"/>
  <c r="K53" i="14" s="1"/>
  <c r="K57" i="14" s="1"/>
  <c r="K23" i="11"/>
  <c r="F12" i="4" s="1"/>
  <c r="L23" i="11"/>
  <c r="G12" i="4" s="1"/>
  <c r="L52" i="14"/>
  <c r="L53" i="14" s="1"/>
  <c r="L57" i="14" s="1"/>
  <c r="J52" i="14"/>
  <c r="J53" i="14" s="1"/>
  <c r="J57" i="14" s="1"/>
  <c r="J23" i="11"/>
  <c r="E12" i="4" s="1"/>
  <c r="C21" i="12"/>
  <c r="C19" i="12"/>
  <c r="C18" i="12"/>
  <c r="L7" i="4"/>
  <c r="K7" i="4"/>
  <c r="J7" i="4"/>
  <c r="I7" i="4"/>
  <c r="H7" i="4"/>
  <c r="G7" i="4"/>
  <c r="F7" i="4"/>
  <c r="E7" i="4"/>
  <c r="D7" i="4"/>
  <c r="C7" i="4"/>
  <c r="D29" i="11"/>
  <c r="E29" i="11"/>
  <c r="E30" i="11" s="1"/>
  <c r="F29" i="11"/>
  <c r="F30" i="11" s="1"/>
  <c r="G29" i="11"/>
  <c r="G30" i="11" s="1"/>
  <c r="H29" i="11"/>
  <c r="I29" i="11"/>
  <c r="J29" i="11"/>
  <c r="K29" i="11"/>
  <c r="L29" i="11"/>
  <c r="C29" i="11"/>
  <c r="I27" i="11"/>
  <c r="D21" i="11"/>
  <c r="E21" i="11"/>
  <c r="E22" i="11" s="1"/>
  <c r="F21" i="11"/>
  <c r="F22" i="11" s="1"/>
  <c r="G21" i="11"/>
  <c r="G22" i="11" s="1"/>
  <c r="H21" i="11"/>
  <c r="I22" i="11" s="1"/>
  <c r="I21" i="11"/>
  <c r="J21" i="11"/>
  <c r="J22" i="11" s="1"/>
  <c r="K21" i="11"/>
  <c r="K22" i="11" s="1"/>
  <c r="L21" i="11"/>
  <c r="C21" i="11"/>
  <c r="B21" i="11"/>
  <c r="D8" i="11"/>
  <c r="E8" i="11"/>
  <c r="F8" i="11"/>
  <c r="G8" i="11"/>
  <c r="H8" i="11"/>
  <c r="C5" i="4" s="1"/>
  <c r="I8" i="11"/>
  <c r="D5" i="4" s="1"/>
  <c r="J8" i="11"/>
  <c r="K8" i="11"/>
  <c r="F5" i="4" s="1"/>
  <c r="L8" i="11"/>
  <c r="G5" i="4" s="1"/>
  <c r="C8" i="11"/>
  <c r="C6" i="11" a="1"/>
  <c r="C6" i="11" s="1"/>
  <c r="C5" i="11" a="1"/>
  <c r="F5" i="11" s="1"/>
  <c r="F11" i="11" s="1"/>
  <c r="C4" i="11"/>
  <c r="D4" i="11" s="1"/>
  <c r="E4" i="11" s="1"/>
  <c r="F4" i="11" s="1"/>
  <c r="G4" i="11" s="1"/>
  <c r="H4" i="11"/>
  <c r="I4" i="11" s="1"/>
  <c r="J4" i="11" s="1"/>
  <c r="K4" i="11" s="1"/>
  <c r="L4" i="11" s="1"/>
  <c r="M4" i="11" s="1"/>
  <c r="N4" i="11" s="1"/>
  <c r="O4" i="11" s="1"/>
  <c r="P4" i="11" s="1"/>
  <c r="Q4" i="11" s="1"/>
  <c r="C4" i="4" a="1"/>
  <c r="C4" i="4" s="1"/>
  <c r="C3" i="4"/>
  <c r="O53" i="14" l="1"/>
  <c r="O58" i="14"/>
  <c r="O57" i="14"/>
  <c r="O54" i="14"/>
  <c r="K24" i="11"/>
  <c r="D12" i="4"/>
  <c r="I24" i="11"/>
  <c r="D30" i="11"/>
  <c r="J9" i="11"/>
  <c r="L22" i="11"/>
  <c r="D22" i="11"/>
  <c r="L30" i="11"/>
  <c r="K30" i="11"/>
  <c r="C9" i="4"/>
  <c r="C6" i="4"/>
  <c r="C8" i="4" s="1"/>
  <c r="G9" i="4"/>
  <c r="G6" i="4"/>
  <c r="G8" i="4" s="1"/>
  <c r="G10" i="4" s="1"/>
  <c r="F9" i="4"/>
  <c r="F6" i="4"/>
  <c r="F8" i="4" s="1"/>
  <c r="D9" i="4"/>
  <c r="D6" i="4"/>
  <c r="D8" i="4" s="1"/>
  <c r="D10" i="4" s="1"/>
  <c r="H22" i="11"/>
  <c r="I30" i="11"/>
  <c r="J30" i="11"/>
  <c r="H30" i="11"/>
  <c r="E5" i="4"/>
  <c r="L27" i="11"/>
  <c r="K27" i="11"/>
  <c r="J27" i="11"/>
  <c r="G9" i="11"/>
  <c r="E9" i="11"/>
  <c r="I9" i="11"/>
  <c r="J24" i="11"/>
  <c r="F9" i="11"/>
  <c r="L9" i="11"/>
  <c r="L24" i="11"/>
  <c r="H9" i="11"/>
  <c r="D9" i="11"/>
  <c r="K9" i="11"/>
  <c r="F16" i="11"/>
  <c r="F18" i="11" s="1"/>
  <c r="F6" i="11"/>
  <c r="J6" i="11"/>
  <c r="I6" i="11"/>
  <c r="P6" i="11"/>
  <c r="D6" i="11"/>
  <c r="Q6" i="11"/>
  <c r="H6" i="11"/>
  <c r="O6" i="11"/>
  <c r="G6" i="11"/>
  <c r="N6" i="11"/>
  <c r="M6" i="11"/>
  <c r="E6" i="11"/>
  <c r="L6" i="11"/>
  <c r="K6" i="11"/>
  <c r="Q5" i="11"/>
  <c r="I5" i="11"/>
  <c r="I11" i="11" s="1"/>
  <c r="M5" i="11"/>
  <c r="E5" i="11"/>
  <c r="E11" i="11" s="1"/>
  <c r="L5" i="11"/>
  <c r="L11" i="11" s="1"/>
  <c r="D5" i="11"/>
  <c r="D11" i="11" s="1"/>
  <c r="K5" i="11"/>
  <c r="K11" i="11" s="1"/>
  <c r="C5" i="11"/>
  <c r="C11" i="11" s="1"/>
  <c r="C16" i="11" s="1"/>
  <c r="C18" i="11" s="1"/>
  <c r="J5" i="11"/>
  <c r="J11" i="11" s="1"/>
  <c r="P5" i="11"/>
  <c r="H5" i="11"/>
  <c r="H11" i="11" s="1"/>
  <c r="O5" i="11"/>
  <c r="G5" i="11"/>
  <c r="G11" i="11" s="1"/>
  <c r="N5" i="11"/>
  <c r="K4" i="4"/>
  <c r="J4" i="4"/>
  <c r="I4" i="4"/>
  <c r="H4" i="4"/>
  <c r="G4" i="4"/>
  <c r="F4" i="4"/>
  <c r="L4" i="4"/>
  <c r="E4" i="4"/>
  <c r="D4" i="4"/>
  <c r="G15" i="4" l="1"/>
  <c r="E8" i="12" s="1"/>
  <c r="M27" i="11"/>
  <c r="M26" i="11" s="1"/>
  <c r="H13" i="4" s="1"/>
  <c r="C10" i="4"/>
  <c r="C15" i="4" s="1"/>
  <c r="F10" i="4"/>
  <c r="E9" i="4"/>
  <c r="E6" i="4"/>
  <c r="E8" i="4" s="1"/>
  <c r="M30" i="11"/>
  <c r="M29" i="11" s="1"/>
  <c r="D15" i="4"/>
  <c r="F15" i="4"/>
  <c r="D8" i="12" s="1"/>
  <c r="M21" i="11"/>
  <c r="M22" i="11" s="1"/>
  <c r="M24" i="11" s="1"/>
  <c r="M23" i="11" s="1"/>
  <c r="H12" i="4" s="1"/>
  <c r="G16" i="11"/>
  <c r="G18" i="11" s="1"/>
  <c r="G19" i="11" s="1"/>
  <c r="G12" i="11"/>
  <c r="L16" i="11"/>
  <c r="L18" i="11" s="1"/>
  <c r="L12" i="11"/>
  <c r="E16" i="11"/>
  <c r="E18" i="11" s="1"/>
  <c r="E12" i="11"/>
  <c r="J16" i="11"/>
  <c r="J18" i="11" s="1"/>
  <c r="J19" i="11" s="1"/>
  <c r="J12" i="11"/>
  <c r="M9" i="11"/>
  <c r="M8" i="11" s="1"/>
  <c r="H5" i="4" s="1"/>
  <c r="H16" i="11"/>
  <c r="H18" i="11" s="1"/>
  <c r="H12" i="11"/>
  <c r="I16" i="11"/>
  <c r="I18" i="11" s="1"/>
  <c r="I12" i="11"/>
  <c r="K16" i="11"/>
  <c r="K18" i="11" s="1"/>
  <c r="K12" i="11"/>
  <c r="F12" i="11"/>
  <c r="D16" i="11"/>
  <c r="D18" i="11" s="1"/>
  <c r="D19" i="11" s="1"/>
  <c r="D12" i="11"/>
  <c r="N27" i="11" l="1"/>
  <c r="O27" i="11" s="1"/>
  <c r="P27" i="11" s="1"/>
  <c r="H9" i="4"/>
  <c r="H6" i="4"/>
  <c r="H8" i="4" s="1"/>
  <c r="H10" i="4" s="1"/>
  <c r="N21" i="11"/>
  <c r="N22" i="11" s="1"/>
  <c r="N24" i="11" s="1"/>
  <c r="N23" i="11" s="1"/>
  <c r="I12" i="4" s="1"/>
  <c r="H19" i="11"/>
  <c r="M11" i="11"/>
  <c r="E10" i="4"/>
  <c r="E15" i="4" s="1"/>
  <c r="C8" i="12" s="1"/>
  <c r="N30" i="11"/>
  <c r="N29" i="11" s="1"/>
  <c r="I19" i="11"/>
  <c r="E19" i="11"/>
  <c r="K19" i="11"/>
  <c r="L19" i="11"/>
  <c r="M12" i="11"/>
  <c r="F19" i="11"/>
  <c r="N9" i="11"/>
  <c r="O9" i="11" s="1"/>
  <c r="Q27" i="11" l="1"/>
  <c r="N26" i="11"/>
  <c r="O21" i="11"/>
  <c r="O22" i="11" s="1"/>
  <c r="O24" i="11" s="1"/>
  <c r="O23" i="11" s="1"/>
  <c r="J12" i="4" s="1"/>
  <c r="P21" i="11"/>
  <c r="P22" i="11" s="1"/>
  <c r="O30" i="11"/>
  <c r="P30" i="11" s="1"/>
  <c r="H15" i="4"/>
  <c r="G8" i="12" s="1"/>
  <c r="G10" i="12" s="1"/>
  <c r="N12" i="11"/>
  <c r="O12" i="11" s="1"/>
  <c r="P12" i="11" s="1"/>
  <c r="N8" i="11"/>
  <c r="M16" i="11"/>
  <c r="M18" i="11" s="1"/>
  <c r="M19" i="11" s="1"/>
  <c r="P9" i="11"/>
  <c r="Q9" i="11" s="1"/>
  <c r="O26" i="11" l="1"/>
  <c r="I13" i="4"/>
  <c r="Q30" i="11"/>
  <c r="P24" i="11"/>
  <c r="P23" i="11" s="1"/>
  <c r="K12" i="4" s="1"/>
  <c r="Q21" i="11"/>
  <c r="Q22" i="11" s="1"/>
  <c r="O8" i="11"/>
  <c r="I5" i="4"/>
  <c r="N11" i="11"/>
  <c r="O29" i="11"/>
  <c r="Q12" i="11"/>
  <c r="P26" i="11" l="1"/>
  <c r="J13" i="4"/>
  <c r="Q24" i="11"/>
  <c r="Q23" i="11" s="1"/>
  <c r="L12" i="4" s="1"/>
  <c r="J5" i="4"/>
  <c r="O11" i="11"/>
  <c r="P8" i="11"/>
  <c r="I9" i="4"/>
  <c r="I6" i="4"/>
  <c r="I8" i="4" s="1"/>
  <c r="I10" i="4" s="1"/>
  <c r="P29" i="11"/>
  <c r="N16" i="11"/>
  <c r="N18" i="11" s="1"/>
  <c r="N19" i="11" s="1"/>
  <c r="O16" i="11"/>
  <c r="O18" i="11" s="1"/>
  <c r="O19" i="11" l="1"/>
  <c r="K13" i="4"/>
  <c r="Q26" i="11"/>
  <c r="L13" i="4" s="1"/>
  <c r="I15" i="4"/>
  <c r="H8" i="12" s="1"/>
  <c r="H10" i="12" s="1"/>
  <c r="Q29" i="11"/>
  <c r="Q8" i="11"/>
  <c r="K5" i="4"/>
  <c r="P11" i="11"/>
  <c r="P16" i="11" s="1"/>
  <c r="P18" i="11" s="1"/>
  <c r="P19" i="11" s="1"/>
  <c r="J6" i="4"/>
  <c r="J8" i="4" s="1"/>
  <c r="J10" i="4" s="1"/>
  <c r="J9" i="4"/>
  <c r="J15" i="4" l="1"/>
  <c r="I8" i="12" s="1"/>
  <c r="I10" i="12" s="1"/>
  <c r="K6" i="4"/>
  <c r="K8" i="4" s="1"/>
  <c r="K9" i="4"/>
  <c r="L5" i="4"/>
  <c r="Q11" i="11"/>
  <c r="Q16" i="11" s="1"/>
  <c r="Q18" i="11" s="1"/>
  <c r="Q19" i="11" s="1"/>
  <c r="L6" i="4" l="1"/>
  <c r="L8" i="4" s="1"/>
  <c r="L9" i="4"/>
  <c r="K10" i="4"/>
  <c r="K15" i="4" s="1"/>
  <c r="J8" i="12" s="1"/>
  <c r="J10" i="12" s="1"/>
  <c r="D3" i="4"/>
  <c r="E3" i="4" s="1"/>
  <c r="F3" i="4" s="1"/>
  <c r="G3" i="4" s="1"/>
  <c r="H3" i="4" s="1"/>
  <c r="I3" i="4" s="1"/>
  <c r="J3" i="4" s="1"/>
  <c r="K3" i="4" s="1"/>
  <c r="L3" i="4" s="1"/>
  <c r="L10" i="4" l="1"/>
  <c r="L15" i="4" s="1"/>
  <c r="K8" i="12" s="1"/>
  <c r="C106" i="3"/>
  <c r="D97" i="3"/>
  <c r="E97" i="3"/>
  <c r="F97" i="3"/>
  <c r="G97" i="3"/>
  <c r="H97" i="3"/>
  <c r="I97" i="3"/>
  <c r="J97" i="3"/>
  <c r="K97" i="3"/>
  <c r="L97" i="3"/>
  <c r="D98" i="3"/>
  <c r="E98" i="3"/>
  <c r="F98" i="3"/>
  <c r="G98" i="3"/>
  <c r="H98" i="3"/>
  <c r="I98" i="3"/>
  <c r="J98" i="3"/>
  <c r="K98" i="3"/>
  <c r="L98" i="3"/>
  <c r="D99" i="3"/>
  <c r="E99" i="3"/>
  <c r="F99" i="3"/>
  <c r="G99" i="3"/>
  <c r="H99" i="3"/>
  <c r="I99" i="3"/>
  <c r="J99" i="3"/>
  <c r="K99" i="3"/>
  <c r="L99" i="3"/>
  <c r="D100" i="3"/>
  <c r="E100" i="3"/>
  <c r="F100" i="3"/>
  <c r="G100" i="3"/>
  <c r="H100" i="3"/>
  <c r="I100" i="3"/>
  <c r="J100" i="3"/>
  <c r="K100" i="3"/>
  <c r="L100" i="3"/>
  <c r="D101" i="3"/>
  <c r="E101" i="3"/>
  <c r="F101" i="3"/>
  <c r="G101" i="3"/>
  <c r="H101" i="3"/>
  <c r="I101" i="3"/>
  <c r="J101" i="3"/>
  <c r="K101" i="3"/>
  <c r="L101" i="3"/>
  <c r="D102" i="3"/>
  <c r="E102" i="3"/>
  <c r="F102" i="3"/>
  <c r="G102" i="3"/>
  <c r="H102" i="3"/>
  <c r="I102" i="3"/>
  <c r="J102" i="3"/>
  <c r="K102" i="3"/>
  <c r="L102" i="3"/>
  <c r="D103" i="3"/>
  <c r="E103" i="3"/>
  <c r="F103" i="3"/>
  <c r="G103" i="3"/>
  <c r="H103" i="3"/>
  <c r="I103" i="3"/>
  <c r="J103" i="3"/>
  <c r="K103" i="3"/>
  <c r="L103" i="3"/>
  <c r="C98" i="3"/>
  <c r="C99" i="3"/>
  <c r="C100" i="3"/>
  <c r="C101" i="3"/>
  <c r="C102" i="3"/>
  <c r="C103" i="3"/>
  <c r="C97" i="3"/>
  <c r="D83" i="3"/>
  <c r="E83" i="3"/>
  <c r="F83" i="3"/>
  <c r="G83" i="3"/>
  <c r="H83" i="3"/>
  <c r="I83" i="3"/>
  <c r="J83" i="3"/>
  <c r="K83" i="3"/>
  <c r="L83" i="3"/>
  <c r="D84" i="3"/>
  <c r="E84" i="3"/>
  <c r="F84" i="3"/>
  <c r="G84" i="3"/>
  <c r="H84" i="3"/>
  <c r="I84" i="3"/>
  <c r="J84" i="3"/>
  <c r="K84" i="3"/>
  <c r="L84" i="3"/>
  <c r="D85" i="3"/>
  <c r="E85" i="3"/>
  <c r="F85" i="3"/>
  <c r="G85" i="3"/>
  <c r="H85" i="3"/>
  <c r="I85" i="3"/>
  <c r="J85" i="3"/>
  <c r="K85" i="3"/>
  <c r="L85" i="3"/>
  <c r="D86" i="3"/>
  <c r="E86" i="3"/>
  <c r="F86" i="3"/>
  <c r="G86" i="3"/>
  <c r="H86" i="3"/>
  <c r="I86" i="3"/>
  <c r="J86" i="3"/>
  <c r="K86" i="3"/>
  <c r="L86" i="3"/>
  <c r="D87" i="3"/>
  <c r="E87" i="3"/>
  <c r="F87" i="3"/>
  <c r="G87" i="3"/>
  <c r="H87" i="3"/>
  <c r="I87" i="3"/>
  <c r="J87" i="3"/>
  <c r="K87" i="3"/>
  <c r="L87" i="3"/>
  <c r="D88" i="3"/>
  <c r="E88" i="3"/>
  <c r="F88" i="3"/>
  <c r="G88" i="3"/>
  <c r="H88" i="3"/>
  <c r="I88" i="3"/>
  <c r="J88" i="3"/>
  <c r="K88" i="3"/>
  <c r="L88" i="3"/>
  <c r="D89" i="3"/>
  <c r="E89" i="3"/>
  <c r="F89" i="3"/>
  <c r="G89" i="3"/>
  <c r="H89" i="3"/>
  <c r="I89" i="3"/>
  <c r="J89" i="3"/>
  <c r="K89" i="3"/>
  <c r="L89" i="3"/>
  <c r="D90" i="3"/>
  <c r="E90" i="3"/>
  <c r="F90" i="3"/>
  <c r="G90" i="3"/>
  <c r="H90" i="3"/>
  <c r="I90" i="3"/>
  <c r="J90" i="3"/>
  <c r="K90" i="3"/>
  <c r="L90" i="3"/>
  <c r="D91" i="3"/>
  <c r="E91" i="3"/>
  <c r="F91" i="3"/>
  <c r="G91" i="3"/>
  <c r="H91" i="3"/>
  <c r="I91" i="3"/>
  <c r="J91" i="3"/>
  <c r="K91" i="3"/>
  <c r="L91" i="3"/>
  <c r="D92" i="3"/>
  <c r="E92" i="3"/>
  <c r="F92" i="3"/>
  <c r="G92" i="3"/>
  <c r="H92" i="3"/>
  <c r="I92" i="3"/>
  <c r="J92" i="3"/>
  <c r="K92" i="3"/>
  <c r="L92" i="3"/>
  <c r="D93" i="3"/>
  <c r="E93" i="3"/>
  <c r="F93" i="3"/>
  <c r="G93" i="3"/>
  <c r="H93" i="3"/>
  <c r="I93" i="3"/>
  <c r="J93" i="3"/>
  <c r="K93" i="3"/>
  <c r="L93" i="3"/>
  <c r="C84" i="3"/>
  <c r="C85" i="3"/>
  <c r="C86" i="3"/>
  <c r="C87" i="3"/>
  <c r="C88" i="3"/>
  <c r="C89" i="3"/>
  <c r="C90" i="3"/>
  <c r="C91" i="3"/>
  <c r="C92" i="3"/>
  <c r="C93" i="3"/>
  <c r="C83" i="3"/>
  <c r="D78" i="3"/>
  <c r="E78" i="3"/>
  <c r="F78" i="3"/>
  <c r="G78" i="3"/>
  <c r="H78" i="3"/>
  <c r="I78" i="3"/>
  <c r="J78" i="3"/>
  <c r="K78" i="3"/>
  <c r="L78" i="3"/>
  <c r="D79" i="3"/>
  <c r="E79" i="3"/>
  <c r="F79" i="3"/>
  <c r="G79" i="3"/>
  <c r="H79" i="3"/>
  <c r="I79" i="3"/>
  <c r="J79" i="3"/>
  <c r="K79" i="3"/>
  <c r="L79" i="3"/>
  <c r="C79" i="3"/>
  <c r="C78" i="3"/>
  <c r="C16" i="12" l="1"/>
  <c r="K10" i="12"/>
  <c r="C14" i="12" s="1"/>
  <c r="D94" i="3"/>
  <c r="J94" i="3"/>
  <c r="L94" i="3"/>
  <c r="E94" i="3"/>
  <c r="K94" i="3"/>
  <c r="I94" i="3"/>
  <c r="H94" i="3"/>
  <c r="G94" i="3"/>
  <c r="F94" i="3"/>
  <c r="C17" i="12" l="1"/>
  <c r="C20" i="12" s="1"/>
  <c r="C22" i="12" s="1"/>
  <c r="C24" i="12" s="1"/>
  <c r="D4" i="8" a="1"/>
  <c r="D5" i="8" s="1"/>
  <c r="D12" i="8" l="1"/>
  <c r="D4" i="8"/>
  <c r="D11" i="8"/>
  <c r="D10" i="8"/>
  <c r="D9" i="8"/>
  <c r="D8" i="8"/>
  <c r="D7" i="8"/>
  <c r="D6" i="8"/>
  <c r="D13" i="8"/>
  <c r="L2" i="8"/>
  <c r="M4" i="8"/>
  <c r="M5" i="8" s="1"/>
  <c r="M6" i="8" s="1"/>
  <c r="M7" i="8" s="1"/>
  <c r="M8" i="8" s="1"/>
  <c r="M9" i="8" s="1"/>
  <c r="M10" i="8" s="1"/>
  <c r="M11" i="8" s="1"/>
  <c r="M12" i="8" s="1"/>
  <c r="M13" i="8" s="1"/>
  <c r="M14" i="8" s="1"/>
  <c r="M15" i="8" s="1"/>
  <c r="M16" i="8" s="1"/>
  <c r="M17" i="8" s="1"/>
  <c r="M18" i="8" s="1"/>
  <c r="M19" i="8" s="1"/>
  <c r="M20" i="8" s="1"/>
  <c r="D14" i="8"/>
  <c r="B2" i="8"/>
  <c r="H4" i="8"/>
  <c r="C4" i="8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G2" i="8"/>
  <c r="H5" i="8"/>
  <c r="H6" i="8" s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E8" i="8" l="1"/>
  <c r="E6" i="8"/>
  <c r="E13" i="8"/>
  <c r="D19" i="8"/>
  <c r="E10" i="8"/>
  <c r="D16" i="8"/>
  <c r="E5" i="8"/>
  <c r="E14" i="8"/>
  <c r="B2" i="7"/>
  <c r="L3" i="7"/>
  <c r="K3" i="7"/>
  <c r="J3" i="7"/>
  <c r="I3" i="7"/>
  <c r="H3" i="7"/>
  <c r="G3" i="7"/>
  <c r="F3" i="7"/>
  <c r="E3" i="7"/>
  <c r="D3" i="7"/>
  <c r="C3" i="7"/>
  <c r="D15" i="8" l="1"/>
  <c r="E16" i="8" s="1"/>
  <c r="D17" i="8"/>
  <c r="E17" i="8" s="1"/>
  <c r="D18" i="8"/>
  <c r="E18" i="8" s="1"/>
  <c r="E9" i="8"/>
  <c r="E12" i="8"/>
  <c r="E7" i="8"/>
  <c r="D20" i="8"/>
  <c r="E20" i="8" s="1"/>
  <c r="E11" i="8"/>
  <c r="E15" i="8"/>
  <c r="E70" i="3"/>
  <c r="C71" i="3"/>
  <c r="D71" i="3"/>
  <c r="E71" i="3"/>
  <c r="F71" i="3"/>
  <c r="G71" i="3"/>
  <c r="H71" i="3"/>
  <c r="I71" i="3"/>
  <c r="J71" i="3"/>
  <c r="K71" i="3"/>
  <c r="L71" i="3"/>
  <c r="C72" i="3"/>
  <c r="D72" i="3"/>
  <c r="E72" i="3"/>
  <c r="F72" i="3"/>
  <c r="G72" i="3"/>
  <c r="H72" i="3"/>
  <c r="I72" i="3"/>
  <c r="J72" i="3"/>
  <c r="K72" i="3"/>
  <c r="L72" i="3"/>
  <c r="C73" i="3"/>
  <c r="D73" i="3"/>
  <c r="E73" i="3"/>
  <c r="F73" i="3"/>
  <c r="G73" i="3"/>
  <c r="H73" i="3"/>
  <c r="I73" i="3"/>
  <c r="J73" i="3"/>
  <c r="K73" i="3"/>
  <c r="L73" i="3"/>
  <c r="C74" i="3"/>
  <c r="D74" i="3"/>
  <c r="E74" i="3"/>
  <c r="F74" i="3"/>
  <c r="G74" i="3"/>
  <c r="H74" i="3"/>
  <c r="I74" i="3"/>
  <c r="J74" i="3"/>
  <c r="K74" i="3"/>
  <c r="L74" i="3"/>
  <c r="C75" i="3"/>
  <c r="D75" i="3"/>
  <c r="E75" i="3"/>
  <c r="F75" i="3"/>
  <c r="G75" i="3"/>
  <c r="H75" i="3"/>
  <c r="I75" i="3"/>
  <c r="J75" i="3"/>
  <c r="K75" i="3"/>
  <c r="L75" i="3"/>
  <c r="C76" i="3"/>
  <c r="D76" i="3"/>
  <c r="E76" i="3"/>
  <c r="F76" i="3"/>
  <c r="G76" i="3"/>
  <c r="H76" i="3"/>
  <c r="I76" i="3"/>
  <c r="J76" i="3"/>
  <c r="K76" i="3"/>
  <c r="L76" i="3"/>
  <c r="C77" i="3"/>
  <c r="D77" i="3"/>
  <c r="E77" i="3"/>
  <c r="F77" i="3"/>
  <c r="G77" i="3"/>
  <c r="H77" i="3"/>
  <c r="I77" i="3"/>
  <c r="J77" i="3"/>
  <c r="K77" i="3"/>
  <c r="L77" i="3"/>
  <c r="D70" i="3"/>
  <c r="F70" i="3"/>
  <c r="G70" i="3"/>
  <c r="G80" i="3" s="1"/>
  <c r="H70" i="3"/>
  <c r="I70" i="3"/>
  <c r="J70" i="3"/>
  <c r="K70" i="3"/>
  <c r="L70" i="3"/>
  <c r="C70" i="3"/>
  <c r="D55" i="3"/>
  <c r="E55" i="3"/>
  <c r="F55" i="3"/>
  <c r="G55" i="3"/>
  <c r="H55" i="3"/>
  <c r="I55" i="3"/>
  <c r="J55" i="3"/>
  <c r="K55" i="3"/>
  <c r="L55" i="3"/>
  <c r="M55" i="3"/>
  <c r="C55" i="3"/>
  <c r="C50" i="3"/>
  <c r="C59" i="3"/>
  <c r="D59" i="3"/>
  <c r="E59" i="3"/>
  <c r="F59" i="3"/>
  <c r="G59" i="3"/>
  <c r="H59" i="3"/>
  <c r="I59" i="3"/>
  <c r="J59" i="3"/>
  <c r="K59" i="3"/>
  <c r="L59" i="3"/>
  <c r="M59" i="3"/>
  <c r="C60" i="3"/>
  <c r="D60" i="3"/>
  <c r="E60" i="3"/>
  <c r="F60" i="3"/>
  <c r="G60" i="3"/>
  <c r="H60" i="3"/>
  <c r="I60" i="3"/>
  <c r="J60" i="3"/>
  <c r="K60" i="3"/>
  <c r="L60" i="3"/>
  <c r="M60" i="3"/>
  <c r="D58" i="3"/>
  <c r="E58" i="3"/>
  <c r="F58" i="3"/>
  <c r="G58" i="3"/>
  <c r="H58" i="3"/>
  <c r="I58" i="3"/>
  <c r="J58" i="3"/>
  <c r="K58" i="3"/>
  <c r="L58" i="3"/>
  <c r="M58" i="3"/>
  <c r="C58" i="3"/>
  <c r="C53" i="3"/>
  <c r="D53" i="3"/>
  <c r="E53" i="3"/>
  <c r="F53" i="3"/>
  <c r="G53" i="3"/>
  <c r="H53" i="3"/>
  <c r="I53" i="3"/>
  <c r="J53" i="3"/>
  <c r="K53" i="3"/>
  <c r="L53" i="3"/>
  <c r="M53" i="3"/>
  <c r="C54" i="3"/>
  <c r="D54" i="3"/>
  <c r="E54" i="3"/>
  <c r="F54" i="3"/>
  <c r="G54" i="3"/>
  <c r="H54" i="3"/>
  <c r="I54" i="3"/>
  <c r="J54" i="3"/>
  <c r="K54" i="3"/>
  <c r="L54" i="3"/>
  <c r="M54" i="3"/>
  <c r="D52" i="3"/>
  <c r="E52" i="3"/>
  <c r="F52" i="3"/>
  <c r="G52" i="3"/>
  <c r="H52" i="3"/>
  <c r="I52" i="3"/>
  <c r="J52" i="3"/>
  <c r="K52" i="3"/>
  <c r="L52" i="3"/>
  <c r="M52" i="3"/>
  <c r="C52" i="3"/>
  <c r="C47" i="3"/>
  <c r="D47" i="3"/>
  <c r="E47" i="3"/>
  <c r="F47" i="3"/>
  <c r="G47" i="3"/>
  <c r="H47" i="3"/>
  <c r="I47" i="3"/>
  <c r="J47" i="3"/>
  <c r="K47" i="3"/>
  <c r="L47" i="3"/>
  <c r="M47" i="3"/>
  <c r="C48" i="3"/>
  <c r="D48" i="3"/>
  <c r="E48" i="3"/>
  <c r="F48" i="3"/>
  <c r="G48" i="3"/>
  <c r="H48" i="3"/>
  <c r="I48" i="3"/>
  <c r="J48" i="3"/>
  <c r="K48" i="3"/>
  <c r="L48" i="3"/>
  <c r="M48" i="3"/>
  <c r="C49" i="3"/>
  <c r="D49" i="3"/>
  <c r="E49" i="3"/>
  <c r="F49" i="3"/>
  <c r="G49" i="3"/>
  <c r="H49" i="3"/>
  <c r="I49" i="3"/>
  <c r="J49" i="3"/>
  <c r="K49" i="3"/>
  <c r="L49" i="3"/>
  <c r="M49" i="3"/>
  <c r="D50" i="3"/>
  <c r="E50" i="3"/>
  <c r="F50" i="3"/>
  <c r="G50" i="3"/>
  <c r="H50" i="3"/>
  <c r="I50" i="3"/>
  <c r="J50" i="3"/>
  <c r="K50" i="3"/>
  <c r="L50" i="3"/>
  <c r="M50" i="3"/>
  <c r="D46" i="3"/>
  <c r="E46" i="3"/>
  <c r="F46" i="3"/>
  <c r="G46" i="3"/>
  <c r="H46" i="3"/>
  <c r="I46" i="3"/>
  <c r="J46" i="3"/>
  <c r="K46" i="3"/>
  <c r="L46" i="3"/>
  <c r="M46" i="3"/>
  <c r="C46" i="3"/>
  <c r="M34" i="3"/>
  <c r="M39" i="3" s="1"/>
  <c r="D34" i="3"/>
  <c r="D39" i="3" s="1"/>
  <c r="E34" i="3"/>
  <c r="E39" i="3" s="1"/>
  <c r="F34" i="3"/>
  <c r="F39" i="3" s="1"/>
  <c r="G34" i="3"/>
  <c r="G39" i="3" s="1"/>
  <c r="H34" i="3"/>
  <c r="H39" i="3" s="1"/>
  <c r="I34" i="3"/>
  <c r="I39" i="3" s="1"/>
  <c r="J34" i="3"/>
  <c r="J39" i="3" s="1"/>
  <c r="K34" i="3"/>
  <c r="K39" i="3" s="1"/>
  <c r="L34" i="3"/>
  <c r="L39" i="3" s="1"/>
  <c r="C34" i="3"/>
  <c r="C39" i="3" s="1"/>
  <c r="M28" i="3"/>
  <c r="D28" i="3"/>
  <c r="E28" i="3"/>
  <c r="F28" i="3"/>
  <c r="G28" i="3"/>
  <c r="H28" i="3"/>
  <c r="I28" i="3"/>
  <c r="J28" i="3"/>
  <c r="K28" i="3"/>
  <c r="L28" i="3"/>
  <c r="C28" i="3"/>
  <c r="M22" i="3"/>
  <c r="D22" i="3"/>
  <c r="E22" i="3"/>
  <c r="F22" i="3"/>
  <c r="G22" i="3"/>
  <c r="H22" i="3"/>
  <c r="I22" i="3"/>
  <c r="J22" i="3"/>
  <c r="K22" i="3"/>
  <c r="L22" i="3"/>
  <c r="C22" i="3"/>
  <c r="M19" i="3"/>
  <c r="D19" i="3"/>
  <c r="E19" i="3"/>
  <c r="F19" i="3"/>
  <c r="G19" i="3"/>
  <c r="H19" i="3"/>
  <c r="I19" i="3"/>
  <c r="J19" i="3"/>
  <c r="K19" i="3"/>
  <c r="L19" i="3"/>
  <c r="C19" i="3"/>
  <c r="M13" i="3"/>
  <c r="D13" i="3"/>
  <c r="E13" i="3"/>
  <c r="F13" i="3"/>
  <c r="G13" i="3"/>
  <c r="H13" i="3"/>
  <c r="I13" i="3"/>
  <c r="J13" i="3"/>
  <c r="K13" i="3"/>
  <c r="L13" i="3"/>
  <c r="C13" i="3"/>
  <c r="M7" i="3"/>
  <c r="D7" i="3"/>
  <c r="E7" i="3"/>
  <c r="F7" i="3"/>
  <c r="G7" i="3"/>
  <c r="H7" i="3"/>
  <c r="I7" i="3"/>
  <c r="J7" i="3"/>
  <c r="K7" i="3"/>
  <c r="L7" i="3"/>
  <c r="C7" i="3"/>
  <c r="M5" i="3"/>
  <c r="D5" i="3"/>
  <c r="E5" i="3"/>
  <c r="F5" i="3"/>
  <c r="G5" i="3"/>
  <c r="H5" i="3"/>
  <c r="I5" i="3"/>
  <c r="J5" i="3"/>
  <c r="K5" i="3"/>
  <c r="L5" i="3"/>
  <c r="C5" i="3"/>
  <c r="L3" i="3"/>
  <c r="D3" i="3"/>
  <c r="E3" i="3"/>
  <c r="F3" i="3"/>
  <c r="G3" i="3"/>
  <c r="H3" i="3"/>
  <c r="I3" i="3"/>
  <c r="J3" i="3"/>
  <c r="K3" i="3"/>
  <c r="C3" i="3"/>
  <c r="B2" i="3"/>
  <c r="E1" i="1" s="1"/>
  <c r="B6" i="1"/>
  <c r="L80" i="3" l="1"/>
  <c r="F80" i="3"/>
  <c r="E80" i="3"/>
  <c r="C80" i="3"/>
  <c r="D80" i="3"/>
  <c r="J80" i="3"/>
  <c r="I80" i="3"/>
  <c r="K80" i="3"/>
  <c r="K41" i="7" s="1"/>
  <c r="H80" i="3"/>
  <c r="J9" i="7"/>
  <c r="G9" i="7"/>
  <c r="C61" i="3"/>
  <c r="L56" i="3"/>
  <c r="D56" i="3"/>
  <c r="I9" i="7"/>
  <c r="K56" i="3"/>
  <c r="L61" i="3"/>
  <c r="D61" i="3"/>
  <c r="H56" i="3"/>
  <c r="E9" i="7"/>
  <c r="K9" i="7"/>
  <c r="M56" i="3"/>
  <c r="E56" i="3"/>
  <c r="F61" i="3"/>
  <c r="J41" i="7"/>
  <c r="H39" i="7"/>
  <c r="L104" i="3"/>
  <c r="H20" i="3"/>
  <c r="H27" i="7"/>
  <c r="H34" i="7" s="1"/>
  <c r="H28" i="7"/>
  <c r="H35" i="7" s="1"/>
  <c r="H29" i="7"/>
  <c r="H36" i="7" s="1"/>
  <c r="H31" i="7"/>
  <c r="H30" i="7"/>
  <c r="F28" i="7"/>
  <c r="F35" i="7" s="1"/>
  <c r="F29" i="7"/>
  <c r="F36" i="7" s="1"/>
  <c r="F30" i="7"/>
  <c r="F31" i="7"/>
  <c r="F27" i="7"/>
  <c r="F34" i="7" s="1"/>
  <c r="J56" i="3"/>
  <c r="K61" i="3"/>
  <c r="I56" i="3"/>
  <c r="C56" i="3"/>
  <c r="F56" i="3"/>
  <c r="J61" i="3"/>
  <c r="G61" i="3"/>
  <c r="G27" i="7"/>
  <c r="G34" i="7" s="1"/>
  <c r="G28" i="7"/>
  <c r="G35" i="7" s="1"/>
  <c r="G29" i="7"/>
  <c r="G36" i="7" s="1"/>
  <c r="G30" i="7"/>
  <c r="G31" i="7"/>
  <c r="E29" i="7"/>
  <c r="E36" i="7" s="1"/>
  <c r="E30" i="7"/>
  <c r="E31" i="7"/>
  <c r="E28" i="7"/>
  <c r="E35" i="7" s="1"/>
  <c r="E27" i="7"/>
  <c r="E34" i="7" s="1"/>
  <c r="I61" i="3"/>
  <c r="C104" i="3"/>
  <c r="K31" i="7"/>
  <c r="K30" i="7"/>
  <c r="K27" i="7"/>
  <c r="K34" i="7" s="1"/>
  <c r="K28" i="7"/>
  <c r="K35" i="7" s="1"/>
  <c r="K29" i="7"/>
  <c r="K36" i="7" s="1"/>
  <c r="G56" i="3"/>
  <c r="H61" i="3"/>
  <c r="M61" i="3"/>
  <c r="E61" i="3"/>
  <c r="I6" i="3"/>
  <c r="I5" i="7" s="1"/>
  <c r="I27" i="7"/>
  <c r="I34" i="7" s="1"/>
  <c r="I30" i="7"/>
  <c r="I28" i="7"/>
  <c r="I35" i="7" s="1"/>
  <c r="I29" i="7"/>
  <c r="I36" i="7" s="1"/>
  <c r="I31" i="7"/>
  <c r="C31" i="7"/>
  <c r="C30" i="7"/>
  <c r="C28" i="7"/>
  <c r="C29" i="7"/>
  <c r="C27" i="7"/>
  <c r="L30" i="7"/>
  <c r="L31" i="7"/>
  <c r="L27" i="7"/>
  <c r="L34" i="7" s="1"/>
  <c r="L29" i="7"/>
  <c r="L36" i="7" s="1"/>
  <c r="L28" i="7"/>
  <c r="L35" i="7" s="1"/>
  <c r="D30" i="7"/>
  <c r="D31" i="7"/>
  <c r="D27" i="7"/>
  <c r="D34" i="7" s="1"/>
  <c r="D28" i="7"/>
  <c r="D35" i="7" s="1"/>
  <c r="D29" i="7"/>
  <c r="D36" i="7" s="1"/>
  <c r="J10" i="3"/>
  <c r="J11" i="3" s="1"/>
  <c r="J11" i="7" s="1"/>
  <c r="J29" i="7"/>
  <c r="J36" i="7" s="1"/>
  <c r="J27" i="7"/>
  <c r="J34" i="7" s="1"/>
  <c r="J28" i="7"/>
  <c r="J35" i="7" s="1"/>
  <c r="J30" i="7"/>
  <c r="J31" i="7"/>
  <c r="L9" i="7"/>
  <c r="E19" i="8"/>
  <c r="F9" i="7"/>
  <c r="D104" i="3"/>
  <c r="D9" i="7"/>
  <c r="G14" i="3"/>
  <c r="G17" i="7" s="1"/>
  <c r="M40" i="3"/>
  <c r="K104" i="3"/>
  <c r="H104" i="3"/>
  <c r="J104" i="3"/>
  <c r="G104" i="3"/>
  <c r="F6" i="3"/>
  <c r="F5" i="7" s="1"/>
  <c r="H9" i="7"/>
  <c r="I104" i="3"/>
  <c r="F104" i="3"/>
  <c r="E104" i="3"/>
  <c r="C94" i="3"/>
  <c r="M8" i="3"/>
  <c r="I10" i="3"/>
  <c r="J8" i="3"/>
  <c r="I8" i="3"/>
  <c r="E20" i="3"/>
  <c r="H8" i="3"/>
  <c r="L10" i="3"/>
  <c r="D10" i="3"/>
  <c r="C14" i="3"/>
  <c r="C17" i="7" s="1"/>
  <c r="C8" i="3"/>
  <c r="F23" i="3"/>
  <c r="F18" i="7" s="1"/>
  <c r="E14" i="3"/>
  <c r="E17" i="7" s="1"/>
  <c r="E8" i="3"/>
  <c r="C20" i="3"/>
  <c r="G20" i="3"/>
  <c r="K8" i="3"/>
  <c r="H23" i="3"/>
  <c r="H18" i="7" s="1"/>
  <c r="E23" i="3"/>
  <c r="E18" i="7" s="1"/>
  <c r="C23" i="3"/>
  <c r="C18" i="7" s="1"/>
  <c r="J14" i="3"/>
  <c r="J17" i="7" s="1"/>
  <c r="G6" i="3"/>
  <c r="G5" i="7" s="1"/>
  <c r="F10" i="3"/>
  <c r="F20" i="3"/>
  <c r="M42" i="3"/>
  <c r="D6" i="3"/>
  <c r="D5" i="7" s="1"/>
  <c r="F14" i="3"/>
  <c r="F17" i="7" s="1"/>
  <c r="L20" i="3"/>
  <c r="D20" i="3"/>
  <c r="K10" i="3"/>
  <c r="D14" i="3"/>
  <c r="D17" i="7" s="1"/>
  <c r="K20" i="3"/>
  <c r="M20" i="3"/>
  <c r="H6" i="3"/>
  <c r="H5" i="7" s="1"/>
  <c r="G10" i="3"/>
  <c r="J20" i="3"/>
  <c r="J23" i="3"/>
  <c r="J18" i="7" s="1"/>
  <c r="I23" i="3"/>
  <c r="I18" i="7" s="1"/>
  <c r="D23" i="3"/>
  <c r="D18" i="7" s="1"/>
  <c r="E6" i="3"/>
  <c r="E5" i="7" s="1"/>
  <c r="M14" i="3"/>
  <c r="I20" i="3"/>
  <c r="L23" i="3"/>
  <c r="L18" i="7" s="1"/>
  <c r="C10" i="3"/>
  <c r="E10" i="3"/>
  <c r="L8" i="3"/>
  <c r="D8" i="3"/>
  <c r="L14" i="3"/>
  <c r="L17" i="7" s="1"/>
  <c r="G23" i="3"/>
  <c r="G18" i="7" s="1"/>
  <c r="H10" i="3"/>
  <c r="M23" i="3"/>
  <c r="M6" i="3"/>
  <c r="G8" i="3"/>
  <c r="F8" i="3"/>
  <c r="K23" i="3"/>
  <c r="K18" i="7" s="1"/>
  <c r="J6" i="3"/>
  <c r="J5" i="7" s="1"/>
  <c r="K14" i="3"/>
  <c r="K17" i="7" s="1"/>
  <c r="L6" i="3"/>
  <c r="L5" i="7" s="1"/>
  <c r="I14" i="3"/>
  <c r="I17" i="7" s="1"/>
  <c r="K6" i="3"/>
  <c r="K5" i="7" s="1"/>
  <c r="H14" i="3"/>
  <c r="H17" i="7" s="1"/>
  <c r="M10" i="3"/>
  <c r="L63" i="3" l="1"/>
  <c r="L65" i="3" s="1"/>
  <c r="I63" i="3"/>
  <c r="I65" i="3" s="1"/>
  <c r="M63" i="3"/>
  <c r="M65" i="3" s="1"/>
  <c r="D63" i="3"/>
  <c r="D65" i="3" s="1"/>
  <c r="E63" i="3"/>
  <c r="E65" i="3" s="1"/>
  <c r="C63" i="3"/>
  <c r="C65" i="3" s="1"/>
  <c r="J63" i="3"/>
  <c r="J65" i="3" s="1"/>
  <c r="H63" i="3"/>
  <c r="H65" i="3" s="1"/>
  <c r="J16" i="3"/>
  <c r="J25" i="3" s="1"/>
  <c r="J13" i="7" s="1"/>
  <c r="J19" i="7" s="1"/>
  <c r="E37" i="7"/>
  <c r="K63" i="3"/>
  <c r="K65" i="3" s="1"/>
  <c r="H41" i="7"/>
  <c r="K37" i="7"/>
  <c r="L37" i="7"/>
  <c r="J39" i="7"/>
  <c r="G106" i="3"/>
  <c r="F63" i="3"/>
  <c r="F65" i="3" s="1"/>
  <c r="L106" i="3"/>
  <c r="K39" i="7"/>
  <c r="J106" i="3"/>
  <c r="I106" i="3"/>
  <c r="F106" i="3"/>
  <c r="H106" i="3"/>
  <c r="D39" i="7"/>
  <c r="D41" i="7"/>
  <c r="D16" i="3"/>
  <c r="D17" i="3" s="1"/>
  <c r="D12" i="7" s="1"/>
  <c r="D11" i="3"/>
  <c r="D11" i="7" s="1"/>
  <c r="D37" i="7"/>
  <c r="O27" i="7"/>
  <c r="N27" i="7"/>
  <c r="C34" i="7"/>
  <c r="C41" i="7"/>
  <c r="C39" i="7"/>
  <c r="F39" i="7"/>
  <c r="F41" i="7"/>
  <c r="I16" i="3"/>
  <c r="I25" i="3" s="1"/>
  <c r="I13" i="7" s="1"/>
  <c r="I19" i="7" s="1"/>
  <c r="I11" i="3"/>
  <c r="I11" i="7" s="1"/>
  <c r="L16" i="3"/>
  <c r="L25" i="3" s="1"/>
  <c r="L13" i="7" s="1"/>
  <c r="L19" i="7" s="1"/>
  <c r="L11" i="3"/>
  <c r="L11" i="7" s="1"/>
  <c r="C36" i="7"/>
  <c r="N29" i="7"/>
  <c r="O29" i="7"/>
  <c r="O17" i="7"/>
  <c r="N17" i="7"/>
  <c r="F16" i="3"/>
  <c r="F25" i="3" s="1"/>
  <c r="F11" i="3"/>
  <c r="F11" i="7" s="1"/>
  <c r="J21" i="7"/>
  <c r="O9" i="7"/>
  <c r="N9" i="7"/>
  <c r="C35" i="7"/>
  <c r="N28" i="7"/>
  <c r="O28" i="7"/>
  <c r="H37" i="7"/>
  <c r="E106" i="3"/>
  <c r="K16" i="3"/>
  <c r="K6" i="7" s="1"/>
  <c r="K11" i="3"/>
  <c r="K11" i="7" s="1"/>
  <c r="D106" i="3"/>
  <c r="J37" i="7"/>
  <c r="O30" i="7"/>
  <c r="N30" i="7"/>
  <c r="G37" i="7"/>
  <c r="O5" i="7"/>
  <c r="N5" i="7"/>
  <c r="E39" i="7"/>
  <c r="E41" i="7"/>
  <c r="E16" i="3"/>
  <c r="E25" i="3" s="1"/>
  <c r="E11" i="3"/>
  <c r="E11" i="7" s="1"/>
  <c r="O31" i="7"/>
  <c r="N31" i="7"/>
  <c r="G41" i="7"/>
  <c r="G39" i="7"/>
  <c r="I39" i="7"/>
  <c r="I41" i="7"/>
  <c r="I40" i="7"/>
  <c r="M16" i="3"/>
  <c r="M25" i="3" s="1"/>
  <c r="M11" i="3"/>
  <c r="C16" i="3"/>
  <c r="C25" i="3" s="1"/>
  <c r="C26" i="3" s="1"/>
  <c r="C14" i="7" s="1"/>
  <c r="C11" i="3"/>
  <c r="C11" i="7" s="1"/>
  <c r="N18" i="7"/>
  <c r="O18" i="7"/>
  <c r="I37" i="7"/>
  <c r="G63" i="3"/>
  <c r="G65" i="3" s="1"/>
  <c r="F37" i="7"/>
  <c r="H16" i="3"/>
  <c r="H17" i="3" s="1"/>
  <c r="H12" i="7" s="1"/>
  <c r="H11" i="3"/>
  <c r="H11" i="7" s="1"/>
  <c r="G16" i="3"/>
  <c r="G17" i="3" s="1"/>
  <c r="G12" i="7" s="1"/>
  <c r="G11" i="3"/>
  <c r="G11" i="7" s="1"/>
  <c r="K106" i="3"/>
  <c r="L39" i="7"/>
  <c r="L40" i="7"/>
  <c r="L41" i="7"/>
  <c r="L17" i="3" l="1"/>
  <c r="L12" i="7" s="1"/>
  <c r="E40" i="7"/>
  <c r="C40" i="7"/>
  <c r="J17" i="3"/>
  <c r="J12" i="7" s="1"/>
  <c r="J25" i="7"/>
  <c r="H40" i="7"/>
  <c r="K40" i="7"/>
  <c r="D40" i="7"/>
  <c r="J40" i="7"/>
  <c r="D25" i="3"/>
  <c r="D31" i="3" s="1"/>
  <c r="D23" i="7" s="1"/>
  <c r="J26" i="3"/>
  <c r="J14" i="7" s="1"/>
  <c r="L6" i="7"/>
  <c r="H25" i="3"/>
  <c r="H13" i="7" s="1"/>
  <c r="H19" i="7" s="1"/>
  <c r="J6" i="7"/>
  <c r="C31" i="3"/>
  <c r="C23" i="7" s="1"/>
  <c r="F13" i="7"/>
  <c r="F19" i="7" s="1"/>
  <c r="F31" i="3"/>
  <c r="F32" i="3" s="1"/>
  <c r="F15" i="7" s="1"/>
  <c r="K25" i="3"/>
  <c r="L7" i="7" s="1"/>
  <c r="I4" i="8" a="1"/>
  <c r="K17" i="3"/>
  <c r="K12" i="7" s="1"/>
  <c r="G6" i="7"/>
  <c r="F17" i="3"/>
  <c r="F12" i="7" s="1"/>
  <c r="M17" i="3"/>
  <c r="F6" i="7"/>
  <c r="F40" i="7"/>
  <c r="G25" i="3"/>
  <c r="G26" i="3" s="1"/>
  <c r="G14" i="7" s="1"/>
  <c r="L26" i="3"/>
  <c r="L14" i="7" s="1"/>
  <c r="L29" i="3"/>
  <c r="E6" i="7"/>
  <c r="E17" i="3"/>
  <c r="E12" i="7" s="1"/>
  <c r="E13" i="7"/>
  <c r="E19" i="7" s="1"/>
  <c r="G21" i="7"/>
  <c r="G25" i="7"/>
  <c r="G40" i="7"/>
  <c r="E29" i="3"/>
  <c r="C29" i="3"/>
  <c r="C13" i="7"/>
  <c r="N11" i="7"/>
  <c r="O11" i="7"/>
  <c r="E31" i="3"/>
  <c r="E23" i="7" s="1"/>
  <c r="H6" i="7"/>
  <c r="H21" i="7"/>
  <c r="H25" i="7"/>
  <c r="C17" i="3"/>
  <c r="C12" i="7" s="1"/>
  <c r="C21" i="7"/>
  <c r="C25" i="7"/>
  <c r="K25" i="7"/>
  <c r="K21" i="7"/>
  <c r="O36" i="7"/>
  <c r="N36" i="7"/>
  <c r="D25" i="7"/>
  <c r="D6" i="7"/>
  <c r="D21" i="7"/>
  <c r="E26" i="3"/>
  <c r="E14" i="7" s="1"/>
  <c r="N39" i="7"/>
  <c r="O39" i="7"/>
  <c r="L25" i="7"/>
  <c r="L21" i="7"/>
  <c r="N41" i="7"/>
  <c r="O41" i="7"/>
  <c r="F21" i="7"/>
  <c r="F25" i="7"/>
  <c r="N34" i="7"/>
  <c r="O34" i="7"/>
  <c r="C37" i="7"/>
  <c r="F26" i="3"/>
  <c r="F14" i="7" s="1"/>
  <c r="E21" i="7"/>
  <c r="E25" i="7"/>
  <c r="I6" i="7"/>
  <c r="I25" i="7"/>
  <c r="I21" i="7"/>
  <c r="I17" i="3"/>
  <c r="I12" i="7" s="1"/>
  <c r="O35" i="7"/>
  <c r="N35" i="7"/>
  <c r="I31" i="3"/>
  <c r="I23" i="7" s="1"/>
  <c r="J31" i="3"/>
  <c r="J32" i="3" s="1"/>
  <c r="J15" i="7" s="1"/>
  <c r="J7" i="7"/>
  <c r="M31" i="3"/>
  <c r="F29" i="3"/>
  <c r="F7" i="7"/>
  <c r="I29" i="3"/>
  <c r="I26" i="3"/>
  <c r="I14" i="7" s="1"/>
  <c r="L31" i="3"/>
  <c r="L23" i="7" s="1"/>
  <c r="J29" i="3"/>
  <c r="M26" i="3"/>
  <c r="M29" i="3"/>
  <c r="C32" i="3" l="1"/>
  <c r="C15" i="7" s="1"/>
  <c r="G31" i="3"/>
  <c r="G36" i="3" s="1"/>
  <c r="G40" i="3" s="1"/>
  <c r="G42" i="3" s="1"/>
  <c r="G22" i="7" s="1"/>
  <c r="D26" i="3"/>
  <c r="D14" i="7" s="1"/>
  <c r="D7" i="7"/>
  <c r="E7" i="7"/>
  <c r="H26" i="3"/>
  <c r="H14" i="7" s="1"/>
  <c r="I7" i="7"/>
  <c r="N40" i="7"/>
  <c r="F36" i="3"/>
  <c r="F40" i="3" s="1"/>
  <c r="F42" i="3" s="1"/>
  <c r="F22" i="7" s="1"/>
  <c r="C36" i="3"/>
  <c r="C40" i="3" s="1"/>
  <c r="C42" i="3" s="1"/>
  <c r="C22" i="7" s="1"/>
  <c r="H31" i="3"/>
  <c r="H23" i="7" s="1"/>
  <c r="D13" i="7"/>
  <c r="D19" i="7" s="1"/>
  <c r="D29" i="3"/>
  <c r="G13" i="7"/>
  <c r="G19" i="7" s="1"/>
  <c r="H29" i="3"/>
  <c r="K31" i="3"/>
  <c r="K23" i="7" s="1"/>
  <c r="K7" i="7"/>
  <c r="G7" i="7"/>
  <c r="G29" i="3"/>
  <c r="H7" i="7"/>
  <c r="F23" i="7"/>
  <c r="F8" i="7"/>
  <c r="I4" i="8"/>
  <c r="I9" i="8"/>
  <c r="I11" i="8"/>
  <c r="I10" i="8"/>
  <c r="I8" i="8"/>
  <c r="I7" i="8"/>
  <c r="I13" i="8"/>
  <c r="I6" i="8"/>
  <c r="I5" i="8"/>
  <c r="J5" i="8" s="1"/>
  <c r="I12" i="8"/>
  <c r="E8" i="7"/>
  <c r="K13" i="7"/>
  <c r="K19" i="7" s="1"/>
  <c r="K29" i="3"/>
  <c r="K26" i="3"/>
  <c r="K14" i="7" s="1"/>
  <c r="E36" i="3"/>
  <c r="E40" i="3" s="1"/>
  <c r="E42" i="3" s="1"/>
  <c r="E22" i="7" s="1"/>
  <c r="E24" i="7" s="1"/>
  <c r="E32" i="3"/>
  <c r="E15" i="7" s="1"/>
  <c r="O40" i="7"/>
  <c r="C19" i="7"/>
  <c r="O21" i="7"/>
  <c r="N21" i="7"/>
  <c r="J8" i="7"/>
  <c r="J23" i="7"/>
  <c r="N37" i="7"/>
  <c r="O37" i="7"/>
  <c r="O12" i="7"/>
  <c r="N12" i="7"/>
  <c r="N6" i="7"/>
  <c r="O6" i="7"/>
  <c r="O25" i="7"/>
  <c r="N25" i="7"/>
  <c r="H32" i="3"/>
  <c r="H15" i="7" s="1"/>
  <c r="I32" i="3"/>
  <c r="I15" i="7" s="1"/>
  <c r="I36" i="3"/>
  <c r="L32" i="3"/>
  <c r="L15" i="7" s="1"/>
  <c r="L36" i="3"/>
  <c r="J36" i="3"/>
  <c r="D8" i="7"/>
  <c r="D36" i="3"/>
  <c r="D40" i="3" s="1"/>
  <c r="D42" i="3" s="1"/>
  <c r="D22" i="7" s="1"/>
  <c r="D24" i="7" s="1"/>
  <c r="D32" i="3"/>
  <c r="D15" i="7" s="1"/>
  <c r="M32" i="3"/>
  <c r="K32" i="3" l="1"/>
  <c r="K15" i="7" s="1"/>
  <c r="G8" i="7"/>
  <c r="K8" i="7"/>
  <c r="G37" i="3"/>
  <c r="L8" i="7"/>
  <c r="K36" i="3"/>
  <c r="K40" i="3" s="1"/>
  <c r="K42" i="3" s="1"/>
  <c r="K22" i="7" s="1"/>
  <c r="K24" i="7" s="1"/>
  <c r="J13" i="8"/>
  <c r="J10" i="8"/>
  <c r="G32" i="3"/>
  <c r="G15" i="7" s="1"/>
  <c r="N15" i="7" s="1"/>
  <c r="G23" i="7"/>
  <c r="G24" i="7" s="1"/>
  <c r="I14" i="8"/>
  <c r="J14" i="8" s="1"/>
  <c r="I8" i="7"/>
  <c r="H8" i="7"/>
  <c r="O8" i="7" s="1"/>
  <c r="H36" i="3"/>
  <c r="H37" i="3" s="1"/>
  <c r="N7" i="7"/>
  <c r="O14" i="7"/>
  <c r="J7" i="8"/>
  <c r="O13" i="7"/>
  <c r="O7" i="7"/>
  <c r="J8" i="8"/>
  <c r="N14" i="7"/>
  <c r="I16" i="8"/>
  <c r="F24" i="7"/>
  <c r="I17" i="8"/>
  <c r="I19" i="8"/>
  <c r="I18" i="8"/>
  <c r="J18" i="8" s="1"/>
  <c r="F37" i="3"/>
  <c r="J11" i="8"/>
  <c r="D37" i="3"/>
  <c r="I20" i="8"/>
  <c r="J12" i="8"/>
  <c r="J9" i="8"/>
  <c r="O15" i="7"/>
  <c r="I15" i="8"/>
  <c r="J15" i="8" s="1"/>
  <c r="N13" i="7"/>
  <c r="J6" i="8"/>
  <c r="C24" i="7"/>
  <c r="N19" i="7"/>
  <c r="O19" i="7"/>
  <c r="E37" i="3"/>
  <c r="M37" i="3"/>
  <c r="L40" i="3"/>
  <c r="L42" i="3" s="1"/>
  <c r="L22" i="7" s="1"/>
  <c r="L24" i="7" s="1"/>
  <c r="J40" i="3"/>
  <c r="J42" i="3" s="1"/>
  <c r="J22" i="7" s="1"/>
  <c r="J24" i="7" s="1"/>
  <c r="I40" i="3"/>
  <c r="I42" i="3" s="1"/>
  <c r="I22" i="7" s="1"/>
  <c r="I24" i="7" s="1"/>
  <c r="J37" i="3"/>
  <c r="L37" i="3" l="1"/>
  <c r="H40" i="3"/>
  <c r="K37" i="3"/>
  <c r="I37" i="3"/>
  <c r="H42" i="3"/>
  <c r="H22" i="7" s="1"/>
  <c r="H24" i="7" s="1"/>
  <c r="N24" i="7" s="1"/>
  <c r="N4" i="8" a="1"/>
  <c r="N7" i="8" s="1"/>
  <c r="O23" i="7"/>
  <c r="N8" i="7"/>
  <c r="N23" i="7"/>
  <c r="J17" i="8"/>
  <c r="J20" i="8"/>
  <c r="J19" i="8"/>
  <c r="J16" i="8"/>
  <c r="N8" i="8" l="1"/>
  <c r="O8" i="8" s="1"/>
  <c r="N11" i="8"/>
  <c r="N4" i="8"/>
  <c r="O22" i="7"/>
  <c r="N22" i="7"/>
  <c r="O24" i="7"/>
  <c r="N12" i="8"/>
  <c r="O13" i="8" s="1"/>
  <c r="N6" i="8"/>
  <c r="O7" i="8" s="1"/>
  <c r="N5" i="8"/>
  <c r="N9" i="8"/>
  <c r="N13" i="8"/>
  <c r="N10" i="8"/>
  <c r="O12" i="8"/>
  <c r="O9" i="8"/>
  <c r="N16" i="8" l="1"/>
  <c r="O17" i="8" s="1"/>
  <c r="O5" i="8"/>
  <c r="N17" i="8"/>
  <c r="N20" i="8"/>
  <c r="N14" i="8"/>
  <c r="O14" i="8" s="1"/>
  <c r="N19" i="8"/>
  <c r="O10" i="8"/>
  <c r="N15" i="8"/>
  <c r="O11" i="8"/>
  <c r="N18" i="8"/>
  <c r="O6" i="8"/>
  <c r="O15" i="8" l="1"/>
  <c r="O20" i="8"/>
  <c r="O19" i="8"/>
  <c r="O16" i="8"/>
  <c r="O18" i="8"/>
</calcChain>
</file>

<file path=xl/sharedStrings.xml><?xml version="1.0" encoding="utf-8"?>
<sst xmlns="http://schemas.openxmlformats.org/spreadsheetml/2006/main" count="454" uniqueCount="311">
  <si>
    <t>COMPANY NAME</t>
  </si>
  <si>
    <t>HINDUSTAN UNILEVER LTD</t>
  </si>
  <si>
    <t>LATEST VERSION</t>
  </si>
  <si>
    <t>PLEASE DO NOT MAKE ANY CHANGES TO THIS SHEET</t>
  </si>
  <si>
    <t>CURRENT VERSION</t>
  </si>
  <si>
    <t>META</t>
  </si>
  <si>
    <t>Number of shares</t>
  </si>
  <si>
    <t>Face Value</t>
  </si>
  <si>
    <t>Current Price</t>
  </si>
  <si>
    <t>Market Capitalization</t>
  </si>
  <si>
    <t>PROFIT &amp; LOSS</t>
  </si>
  <si>
    <t>Report Date</t>
  </si>
  <si>
    <t>Sales</t>
  </si>
  <si>
    <t>Raw Material Cost</t>
  </si>
  <si>
    <t>Change in Inventory</t>
  </si>
  <si>
    <t>Power and Fuel</t>
  </si>
  <si>
    <t>Other Mfr. Exp</t>
  </si>
  <si>
    <t>Employee Cost</t>
  </si>
  <si>
    <t>Selling and admin</t>
  </si>
  <si>
    <t>Other Expenses</t>
  </si>
  <si>
    <t>Other Income</t>
  </si>
  <si>
    <t>Depreciation</t>
  </si>
  <si>
    <t>Interest</t>
  </si>
  <si>
    <t>Profit before tax</t>
  </si>
  <si>
    <t>Tax</t>
  </si>
  <si>
    <t>Net profit</t>
  </si>
  <si>
    <t>Dividend Amount</t>
  </si>
  <si>
    <t>Quarters</t>
  </si>
  <si>
    <t>Expenses</t>
  </si>
  <si>
    <t>Operating Profit</t>
  </si>
  <si>
    <t>BALANCE SHEET</t>
  </si>
  <si>
    <t>Equity Share Capital</t>
  </si>
  <si>
    <t>Reserves</t>
  </si>
  <si>
    <t>Borrowings</t>
  </si>
  <si>
    <t>Other Liabilities</t>
  </si>
  <si>
    <t>Total</t>
  </si>
  <si>
    <t>Net Block</t>
  </si>
  <si>
    <t>Capital Work in Progress</t>
  </si>
  <si>
    <t>Investments</t>
  </si>
  <si>
    <t>Other Assets</t>
  </si>
  <si>
    <t>Receivables</t>
  </si>
  <si>
    <t>Inventory</t>
  </si>
  <si>
    <t>Cash &amp; Bank</t>
  </si>
  <si>
    <t>No. of Equity Shares</t>
  </si>
  <si>
    <t>New Bonus Shares</t>
  </si>
  <si>
    <t>Face value</t>
  </si>
  <si>
    <t>CASH FLOW:</t>
  </si>
  <si>
    <t>Cash from Operating Activity</t>
  </si>
  <si>
    <t>Cash from Investing Activity</t>
  </si>
  <si>
    <t>Cash from Financing Activity</t>
  </si>
  <si>
    <t>Net Cash Flow</t>
  </si>
  <si>
    <t>PRICE:</t>
  </si>
  <si>
    <t>DERIVED:</t>
  </si>
  <si>
    <t>Adjusted Equity Shares in Cr</t>
  </si>
  <si>
    <t>Years</t>
  </si>
  <si>
    <t>LTM</t>
  </si>
  <si>
    <t>#</t>
  </si>
  <si>
    <t>Income Statement</t>
  </si>
  <si>
    <t>-</t>
  </si>
  <si>
    <t>Sales Growth</t>
  </si>
  <si>
    <t>COGS</t>
  </si>
  <si>
    <t>COGS as % of Sales</t>
  </si>
  <si>
    <t xml:space="preserve">Gross Profit </t>
  </si>
  <si>
    <t>SG&amp;A and Other Expenses</t>
  </si>
  <si>
    <t>S%G expenses % of sales</t>
  </si>
  <si>
    <t>EBITDA</t>
  </si>
  <si>
    <t>EBITDA as % of sales</t>
  </si>
  <si>
    <t>interest</t>
  </si>
  <si>
    <t>interest as % of sales</t>
  </si>
  <si>
    <t>depreciation as % of sales</t>
  </si>
  <si>
    <t>EBT</t>
  </si>
  <si>
    <t>EBT as % of sales</t>
  </si>
  <si>
    <t>Taxes</t>
  </si>
  <si>
    <t>effevtive Tax rate</t>
  </si>
  <si>
    <t>Net Profit</t>
  </si>
  <si>
    <t>Net profit margin</t>
  </si>
  <si>
    <t>No. of Equity Share</t>
  </si>
  <si>
    <t>EPS</t>
  </si>
  <si>
    <t>Dividend per share</t>
  </si>
  <si>
    <t>EPS Growth %</t>
  </si>
  <si>
    <t xml:space="preserve">Dividend Payout Ratio </t>
  </si>
  <si>
    <t>Retained Earnings</t>
  </si>
  <si>
    <t>Balance Sheet</t>
  </si>
  <si>
    <t>Total Assets</t>
  </si>
  <si>
    <t>Total Liabilties</t>
  </si>
  <si>
    <t>Fixed assets net  Block</t>
  </si>
  <si>
    <t>Total non-current assets</t>
  </si>
  <si>
    <t xml:space="preserve">Total current assets </t>
  </si>
  <si>
    <t>Check</t>
  </si>
  <si>
    <t>Profit from operations</t>
  </si>
  <si>
    <t>Payables</t>
  </si>
  <si>
    <t>Loans Advances</t>
  </si>
  <si>
    <t>Other WC items</t>
  </si>
  <si>
    <t>Working capital changes</t>
  </si>
  <si>
    <t>Direct taxes</t>
  </si>
  <si>
    <t>Fixed assets purchased</t>
  </si>
  <si>
    <t>Fixed assets sold</t>
  </si>
  <si>
    <t>Investments purchased</t>
  </si>
  <si>
    <t>Investments sold</t>
  </si>
  <si>
    <t>Interest received</t>
  </si>
  <si>
    <t>Dividends received</t>
  </si>
  <si>
    <t>Redemp n Canc of Shares</t>
  </si>
  <si>
    <t>Acquisition of companies</t>
  </si>
  <si>
    <t>Other investing items</t>
  </si>
  <si>
    <t>Proceeds from shares</t>
  </si>
  <si>
    <t>Proceeds from borrowings</t>
  </si>
  <si>
    <t>Repayment of borrowings</t>
  </si>
  <si>
    <t>Interest paid fin</t>
  </si>
  <si>
    <t>Dividends paid</t>
  </si>
  <si>
    <t>Financial liabilities</t>
  </si>
  <si>
    <t>Other financing items</t>
  </si>
  <si>
    <t>Cash from Operating Activity -</t>
  </si>
  <si>
    <t>Cash from Investing Activity -</t>
  </si>
  <si>
    <t>Cash from Financing Activity -</t>
  </si>
  <si>
    <t>Cash Flow Statement</t>
  </si>
  <si>
    <t>Operating Activities</t>
  </si>
  <si>
    <t xml:space="preserve">Cash from Operating Activity </t>
  </si>
  <si>
    <t xml:space="preserve">Cash from Investing Activity </t>
  </si>
  <si>
    <t xml:space="preserve">Investing Activities </t>
  </si>
  <si>
    <t>Financing Activities</t>
  </si>
  <si>
    <t>net Cash Flow</t>
  </si>
  <si>
    <t>EBITDA growth</t>
  </si>
  <si>
    <t>Net profit growth</t>
  </si>
  <si>
    <t>Dividend growth</t>
  </si>
  <si>
    <t>EBT growth</t>
  </si>
  <si>
    <t>Gross Margin</t>
  </si>
  <si>
    <t>Gross margin</t>
  </si>
  <si>
    <t>EBITDA margin</t>
  </si>
  <si>
    <t xml:space="preserve">EBT margin </t>
  </si>
  <si>
    <t>EBIT margin</t>
  </si>
  <si>
    <t>net profit margin</t>
  </si>
  <si>
    <t>SalesExpenses%Sales</t>
  </si>
  <si>
    <t>Depreciation%Sales</t>
  </si>
  <si>
    <t>OperatingIncome%Sales</t>
  </si>
  <si>
    <t>Return on Capital Employed</t>
  </si>
  <si>
    <t>Retained Earnings %</t>
  </si>
  <si>
    <t>Return on Equity %</t>
  </si>
  <si>
    <t>Self Sustained growth Rate</t>
  </si>
  <si>
    <t>Interest Coverage Ratio</t>
  </si>
  <si>
    <t xml:space="preserve">Debtor Turnover ratio </t>
  </si>
  <si>
    <t>Creditor Turnover ratio</t>
  </si>
  <si>
    <t>Inventory Turnover ratio</t>
  </si>
  <si>
    <t>Fixed asset Turnover ratio</t>
  </si>
  <si>
    <t>Capital Turnover ratio</t>
  </si>
  <si>
    <t>Creditor days</t>
  </si>
  <si>
    <t>Inventory days</t>
  </si>
  <si>
    <t>Debtor days</t>
  </si>
  <si>
    <t>Cash Conversion Cycle</t>
  </si>
  <si>
    <t>(in days)</t>
  </si>
  <si>
    <t>CFO/Sales</t>
  </si>
  <si>
    <t>CFO/Total Assets</t>
  </si>
  <si>
    <t>CFO/Total Debt</t>
  </si>
  <si>
    <t>Mean</t>
  </si>
  <si>
    <t>Median</t>
  </si>
  <si>
    <t>Year Weight</t>
  </si>
  <si>
    <t>Year</t>
  </si>
  <si>
    <t>Other operating items</t>
  </si>
  <si>
    <t>Exceptional CF items</t>
  </si>
  <si>
    <t>Invest in subsidiaries</t>
  </si>
  <si>
    <t>Loans to subsidiaries</t>
  </si>
  <si>
    <t>Cash Flows</t>
  </si>
  <si>
    <t>INR in crores</t>
  </si>
  <si>
    <t>FY</t>
  </si>
  <si>
    <t>(-) D&amp;A</t>
  </si>
  <si>
    <t>FCFF Forecating</t>
  </si>
  <si>
    <t>growth rate</t>
  </si>
  <si>
    <t>D&amp;A</t>
  </si>
  <si>
    <t>EBIT</t>
  </si>
  <si>
    <t>marginal tax rate</t>
  </si>
  <si>
    <t>NOPAT</t>
  </si>
  <si>
    <t>Gross Cash Flow</t>
  </si>
  <si>
    <t>Capex</t>
  </si>
  <si>
    <t xml:space="preserve">EBIT </t>
  </si>
  <si>
    <t>Tax rate</t>
  </si>
  <si>
    <t>(+) D&amp;A</t>
  </si>
  <si>
    <t xml:space="preserve">(-/+) Delta Working capital </t>
  </si>
  <si>
    <t>(-) Capex</t>
  </si>
  <si>
    <t>UFCFF</t>
  </si>
  <si>
    <t>DCF Valuation</t>
  </si>
  <si>
    <t>WACC</t>
  </si>
  <si>
    <t>g</t>
  </si>
  <si>
    <t>INR in Crores</t>
  </si>
  <si>
    <t>FY23 actual</t>
  </si>
  <si>
    <t>FY24 actual</t>
  </si>
  <si>
    <t>FY25 actual</t>
  </si>
  <si>
    <t>FY26 forecast</t>
  </si>
  <si>
    <t>FY27 forecast</t>
  </si>
  <si>
    <t>FY28 forecast</t>
  </si>
  <si>
    <t>FY29 forecast</t>
  </si>
  <si>
    <t>FY30 forecast</t>
  </si>
  <si>
    <t>Note</t>
  </si>
  <si>
    <t>UCFC</t>
  </si>
  <si>
    <t>discount factor</t>
  </si>
  <si>
    <t>Present value of UCFC</t>
  </si>
  <si>
    <t>PV of Cash Flows</t>
  </si>
  <si>
    <t>continuing value</t>
  </si>
  <si>
    <t>PV of continuing value</t>
  </si>
  <si>
    <t>Enterprise Value</t>
  </si>
  <si>
    <t>() Financial Liabilties</t>
  </si>
  <si>
    <t>Cash</t>
  </si>
  <si>
    <t>Equity Value</t>
  </si>
  <si>
    <t>number of outstanding shhares</t>
  </si>
  <si>
    <t>price per share</t>
  </si>
  <si>
    <t>current stock price</t>
  </si>
  <si>
    <t xml:space="preserve">Stock overvalued by </t>
  </si>
  <si>
    <t xml:space="preserve">Intrinsic Growth Calculation </t>
  </si>
  <si>
    <t>Equity Capital</t>
  </si>
  <si>
    <t>Other Liabilities -</t>
  </si>
  <si>
    <t>Non controlling int</t>
  </si>
  <si>
    <t>Trade Payables</t>
  </si>
  <si>
    <t>Advance from Customers</t>
  </si>
  <si>
    <t>Other liability items</t>
  </si>
  <si>
    <t>Total Liabilities</t>
  </si>
  <si>
    <t>CWIP</t>
  </si>
  <si>
    <t>Other Assets -</t>
  </si>
  <si>
    <t>Inventories</t>
  </si>
  <si>
    <t>Cash Equivalents</t>
  </si>
  <si>
    <t>Loans n Advances</t>
  </si>
  <si>
    <t>Other asset items</t>
  </si>
  <si>
    <t xml:space="preserve">Raw BS </t>
  </si>
  <si>
    <t xml:space="preserve">Borrowings </t>
  </si>
  <si>
    <t xml:space="preserve">Trade receivables </t>
  </si>
  <si>
    <t xml:space="preserve">Calculation Of ROIC </t>
  </si>
  <si>
    <t>Current Assets</t>
  </si>
  <si>
    <t>Total Current Assets</t>
  </si>
  <si>
    <t>Current Liabilities</t>
  </si>
  <si>
    <t>Total Current Liabilities</t>
  </si>
  <si>
    <t xml:space="preserve">Net Working Capital </t>
  </si>
  <si>
    <t>Non Current Assets</t>
  </si>
  <si>
    <t>Fixed Assets -</t>
  </si>
  <si>
    <t>Land</t>
  </si>
  <si>
    <t>Building</t>
  </si>
  <si>
    <t>Plant Machinery</t>
  </si>
  <si>
    <t>Equipments</t>
  </si>
  <si>
    <t>Furniture n fittings</t>
  </si>
  <si>
    <t>Railway sidings</t>
  </si>
  <si>
    <t>Vehicles</t>
  </si>
  <si>
    <t>Intangible Assets</t>
  </si>
  <si>
    <t>Other fixed assets</t>
  </si>
  <si>
    <t>Gross Block</t>
  </si>
  <si>
    <t>Accumulated Depreciation</t>
  </si>
  <si>
    <t>Net Non-Current Assets</t>
  </si>
  <si>
    <t xml:space="preserve">ROIC  </t>
  </si>
  <si>
    <t>Calculation Of Reinvestment Rate</t>
  </si>
  <si>
    <t>Net Capex</t>
  </si>
  <si>
    <t xml:space="preserve">Change in Working Capital </t>
  </si>
  <si>
    <t>Marginal Tax Rate</t>
  </si>
  <si>
    <t>Reinvestment</t>
  </si>
  <si>
    <t>Reinvestment Rate</t>
  </si>
  <si>
    <t>ROIC</t>
  </si>
  <si>
    <t>Intrinsic Growth Rate</t>
  </si>
  <si>
    <t>FINANCIALS ---&gt;</t>
  </si>
  <si>
    <t>DATA ---&gt;</t>
  </si>
  <si>
    <t>Intrinsic Growth rate</t>
  </si>
  <si>
    <t xml:space="preserve">Invested  Capital </t>
  </si>
  <si>
    <t>10 year Average</t>
  </si>
  <si>
    <t xml:space="preserve">10 year Median </t>
  </si>
  <si>
    <t>#NOPAT = EBIT*(1-tax rate)</t>
  </si>
  <si>
    <t xml:space="preserve">   ( as of 28 May 2025 )</t>
  </si>
  <si>
    <t>Weighted Average Cost of Capital</t>
  </si>
  <si>
    <t>All figures are in INR unless stated otherwise</t>
  </si>
  <si>
    <t>Peer Comps</t>
  </si>
  <si>
    <t xml:space="preserve">Debt / </t>
  </si>
  <si>
    <t xml:space="preserve">Levered </t>
  </si>
  <si>
    <t xml:space="preserve">Unlevered </t>
  </si>
  <si>
    <t>Name of the Comp</t>
  </si>
  <si>
    <t>Country</t>
  </si>
  <si>
    <t>Total Debt</t>
  </si>
  <si>
    <t>Total Equity</t>
  </si>
  <si>
    <r>
      <t xml:space="preserve">Tax Rate </t>
    </r>
    <r>
      <rPr>
        <vertAlign val="superscript"/>
        <sz val="11"/>
        <color theme="1"/>
        <rFont val="Calibri"/>
        <family val="2"/>
      </rPr>
      <t>1</t>
    </r>
  </si>
  <si>
    <t>Equity</t>
  </si>
  <si>
    <t xml:space="preserve">Capital </t>
  </si>
  <si>
    <r>
      <t xml:space="preserve">Beta </t>
    </r>
    <r>
      <rPr>
        <vertAlign val="superscript"/>
        <sz val="11"/>
        <color theme="1"/>
        <rFont val="Calibri"/>
        <family val="2"/>
      </rPr>
      <t>2</t>
    </r>
  </si>
  <si>
    <r>
      <t xml:space="preserve">Beta </t>
    </r>
    <r>
      <rPr>
        <vertAlign val="superscript"/>
        <sz val="11"/>
        <color theme="1"/>
        <rFont val="Calibri"/>
        <family val="2"/>
      </rPr>
      <t>3</t>
    </r>
  </si>
  <si>
    <t>Hind. Unilever</t>
  </si>
  <si>
    <t>India</t>
  </si>
  <si>
    <t>Nestle India</t>
  </si>
  <si>
    <t>Britannia Inds.</t>
  </si>
  <si>
    <t>Godrej Consumer</t>
  </si>
  <si>
    <t>Dabur India</t>
  </si>
  <si>
    <t>Average</t>
  </si>
  <si>
    <t>Cost of Debt</t>
  </si>
  <si>
    <t>Cost of Equity</t>
  </si>
  <si>
    <r>
      <t xml:space="preserve">Pre tax cost of Debt </t>
    </r>
    <r>
      <rPr>
        <vertAlign val="superscript"/>
        <sz val="11"/>
        <color theme="1"/>
        <rFont val="Calibri"/>
        <family val="2"/>
      </rPr>
      <t>5</t>
    </r>
  </si>
  <si>
    <r>
      <t xml:space="preserve">Risk-Free Rate </t>
    </r>
    <r>
      <rPr>
        <vertAlign val="superscript"/>
        <sz val="11"/>
        <color theme="1"/>
        <rFont val="Calibri"/>
        <family val="2"/>
      </rPr>
      <t>6</t>
    </r>
  </si>
  <si>
    <t>tax Rate</t>
  </si>
  <si>
    <r>
      <t xml:space="preserve">Market Risk Premium </t>
    </r>
    <r>
      <rPr>
        <vertAlign val="superscript"/>
        <sz val="11"/>
        <color theme="1"/>
        <rFont val="Calibri"/>
        <family val="2"/>
      </rPr>
      <t>7</t>
    </r>
  </si>
  <si>
    <t>Post Tax cost of Debt</t>
  </si>
  <si>
    <r>
      <t xml:space="preserve">Levered Beta </t>
    </r>
    <r>
      <rPr>
        <vertAlign val="superscript"/>
        <sz val="11"/>
        <color theme="1"/>
        <rFont val="Calibri"/>
        <family val="2"/>
      </rPr>
      <t>4</t>
    </r>
  </si>
  <si>
    <t>cost of equity</t>
  </si>
  <si>
    <t>Capital structure</t>
  </si>
  <si>
    <t>Levered Beta</t>
  </si>
  <si>
    <t>Current</t>
  </si>
  <si>
    <t>Target</t>
  </si>
  <si>
    <t>comps Median Unlevered Beta</t>
  </si>
  <si>
    <t>Target Debt/Equity</t>
  </si>
  <si>
    <t xml:space="preserve">Total Capital </t>
  </si>
  <si>
    <t xml:space="preserve">Debt / Equity </t>
  </si>
  <si>
    <t>Total cost</t>
  </si>
  <si>
    <t>Total Weight</t>
  </si>
  <si>
    <t>Debt</t>
  </si>
  <si>
    <t xml:space="preserve">Weighted average Cost of Capital </t>
  </si>
  <si>
    <t>Notes</t>
  </si>
  <si>
    <t>1. Tax Rate Considered as Marginal Tax Rate of the country</t>
  </si>
  <si>
    <t>2. Levered Beta is based on 5 year monthly data</t>
  </si>
  <si>
    <t>3. Unlevered Beta = Levered Beta / (1+ (1- Tax rate ) * ( debt / Equity ))</t>
  </si>
  <si>
    <t>4. Levered Beta = Unlevered Beta * (1+ (1- Tax rate ) * ( debt / Equity ))</t>
  </si>
  <si>
    <t xml:space="preserve">5. cost of debt  ( hind. Unilever ) = risk-free rate ( india ) + country risk Premium + company default spread ( Hind. Unilever) </t>
  </si>
  <si>
    <t xml:space="preserve">6. Risk-free rate ( india ) = Soveriegn Bond Yeild - Default spread ( india )  </t>
  </si>
  <si>
    <t xml:space="preserve">7. Equity Risk Premium Taken from - </t>
  </si>
  <si>
    <t>https://pages.stern.nyu.edu/~adamodar/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</si>
</sst>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(* #,##0.00_);_(* \(#,##0.00\);_(* &quot;-&quot;??_);_(@_)"/>
    <numFmt numFmtId="164" formatCode="_ * #,##0.00_ ;_ * \-#,##0.00_ ;_ * &quot;-&quot;??_ ;_ @_ "/>
    <numFmt numFmtId="165" formatCode="[$-409]mmm\-yy;@"/>
    <numFmt numFmtId="166" formatCode="\₹\ ###,##0.0;\(\₹\ #,##0.0\);\-"/>
    <numFmt numFmtId="167" formatCode="0.00&quot;x&quot;"/>
    <numFmt numFmtId="168" formatCode="yyyy&quot;A&quot;"/>
    <numFmt numFmtId="169" formatCode="yyyy&quot;E&quot;"/>
    <numFmt numFmtId="170" formatCode="#,##0.0_);\(#,##0.0\)"/>
    <numFmt numFmtId="171" formatCode="#,##0.0;\(#,##0.0\);\-"/>
    <numFmt numFmtId="172" formatCode="[$₹-4009]\ #,##0.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4"/>
      <color rgb="FF002060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9"/>
      <color rgb="FF002060"/>
      <name val="Arial"/>
      <family val="2"/>
    </font>
    <font>
      <b/>
      <sz val="9"/>
      <color theme="0"/>
      <name val="Arial"/>
      <family val="2"/>
    </font>
    <font>
      <b/>
      <sz val="9"/>
      <name val="Arial"/>
      <family val="2"/>
    </font>
    <font>
      <i/>
      <sz val="9"/>
      <color theme="1"/>
      <name val="Arial"/>
      <family val="2"/>
    </font>
    <font>
      <b/>
      <sz val="14"/>
      <color rgb="FF00206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206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26"/>
      <color rgb="FF002060"/>
      <name val="Calibri"/>
      <family val="2"/>
      <scheme val="minor"/>
    </font>
    <font>
      <b/>
      <sz val="36"/>
      <color rgb="FF002060"/>
      <name val="Calibri"/>
      <family val="2"/>
      <scheme val="minor"/>
    </font>
    <font>
      <i/>
      <sz val="9"/>
      <color theme="1"/>
      <name val="Calibri"/>
      <family val="2"/>
      <scheme val="minor"/>
    </font>
    <font>
      <vertAlign val="superscript"/>
      <sz val="11"/>
      <color theme="1"/>
      <name val="Calibri"/>
      <family val="2"/>
    </font>
    <font>
      <i/>
      <u/>
      <sz val="9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0275D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</fills>
  <borders count="22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/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rgb="FF002060"/>
      </top>
      <bottom/>
      <diagonal/>
    </border>
    <border>
      <left/>
      <right/>
      <top style="thin">
        <color rgb="FF002060"/>
      </top>
      <bottom style="thin">
        <color rgb="FF002060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2" borderId="0" applyNumberFormat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1" fillId="12" borderId="18" applyNumberFormat="0" applyFont="0" applyAlignment="0" applyProtection="0"/>
  </cellStyleXfs>
  <cellXfs count="170">
    <xf numFmtId="0" fontId="0" fillId="0" borderId="0" xfId="0"/>
    <xf numFmtId="164" fontId="3" fillId="0" borderId="0" xfId="1" applyFont="1" applyBorder="1"/>
    <xf numFmtId="164" fontId="0" fillId="0" borderId="0" xfId="1" applyFont="1" applyBorder="1"/>
    <xf numFmtId="165" fontId="2" fillId="3" borderId="0" xfId="1" applyNumberFormat="1" applyFont="1" applyFill="1" applyBorder="1"/>
    <xf numFmtId="165" fontId="2" fillId="3" borderId="0" xfId="0" applyNumberFormat="1" applyFont="1" applyFill="1" applyBorder="1" applyAlignment="1">
      <alignment horizontal="center"/>
    </xf>
    <xf numFmtId="165" fontId="6" fillId="0" borderId="0" xfId="1" applyNumberFormat="1" applyFont="1" applyFill="1" applyBorder="1"/>
    <xf numFmtId="164" fontId="1" fillId="0" borderId="0" xfId="1" applyFont="1" applyBorder="1"/>
    <xf numFmtId="43" fontId="0" fillId="0" borderId="0" xfId="1" applyNumberFormat="1" applyFont="1" applyBorder="1"/>
    <xf numFmtId="0" fontId="0" fillId="4" borderId="0" xfId="0" applyFill="1"/>
    <xf numFmtId="0" fontId="2" fillId="5" borderId="0" xfId="0" applyFont="1" applyFill="1"/>
    <xf numFmtId="17" fontId="2" fillId="5" borderId="0" xfId="0" applyNumberFormat="1" applyFont="1" applyFill="1" applyAlignment="1">
      <alignment horizontal="right"/>
    </xf>
    <xf numFmtId="0" fontId="3" fillId="4" borderId="0" xfId="0" applyFont="1" applyFill="1"/>
    <xf numFmtId="166" fontId="0" fillId="4" borderId="0" xfId="0" applyNumberFormat="1" applyFill="1"/>
    <xf numFmtId="0" fontId="0" fillId="4" borderId="0" xfId="0" applyFill="1" applyAlignment="1">
      <alignment horizontal="right"/>
    </xf>
    <xf numFmtId="10" fontId="0" fillId="4" borderId="0" xfId="2" applyNumberFormat="1" applyFont="1" applyFill="1"/>
    <xf numFmtId="10" fontId="7" fillId="4" borderId="0" xfId="2" applyNumberFormat="1" applyFont="1" applyFill="1"/>
    <xf numFmtId="0" fontId="7" fillId="4" borderId="0" xfId="0" applyFont="1" applyFill="1"/>
    <xf numFmtId="0" fontId="3" fillId="7" borderId="0" xfId="0" applyFont="1" applyFill="1"/>
    <xf numFmtId="0" fontId="0" fillId="7" borderId="0" xfId="0" applyFill="1"/>
    <xf numFmtId="166" fontId="3" fillId="4" borderId="0" xfId="0" applyNumberFormat="1" applyFont="1" applyFill="1"/>
    <xf numFmtId="0" fontId="3" fillId="4" borderId="1" xfId="0" applyFont="1" applyFill="1" applyBorder="1"/>
    <xf numFmtId="166" fontId="3" fillId="4" borderId="1" xfId="0" applyNumberFormat="1" applyFont="1" applyFill="1" applyBorder="1"/>
    <xf numFmtId="0" fontId="0" fillId="4" borderId="1" xfId="0" applyFill="1" applyBorder="1"/>
    <xf numFmtId="0" fontId="3" fillId="4" borderId="2" xfId="0" applyFont="1" applyFill="1" applyBorder="1"/>
    <xf numFmtId="166" fontId="3" fillId="4" borderId="2" xfId="0" applyNumberFormat="1" applyFont="1" applyFill="1" applyBorder="1"/>
    <xf numFmtId="0" fontId="0" fillId="4" borderId="0" xfId="0" applyFill="1" applyAlignment="1">
      <alignment wrapText="1"/>
    </xf>
    <xf numFmtId="167" fontId="0" fillId="4" borderId="0" xfId="0" applyNumberFormat="1" applyFill="1"/>
    <xf numFmtId="0" fontId="2" fillId="5" borderId="0" xfId="0" applyNumberFormat="1" applyFont="1" applyFill="1" applyAlignment="1">
      <alignment horizontal="right"/>
    </xf>
    <xf numFmtId="0" fontId="0" fillId="4" borderId="3" xfId="0" applyFill="1" applyBorder="1"/>
    <xf numFmtId="10" fontId="0" fillId="4" borderId="3" xfId="2" applyNumberFormat="1" applyFont="1" applyFill="1" applyBorder="1"/>
    <xf numFmtId="0" fontId="0" fillId="4" borderId="0" xfId="0" applyFill="1" applyBorder="1"/>
    <xf numFmtId="10" fontId="0" fillId="4" borderId="0" xfId="2" applyNumberFormat="1" applyFont="1" applyFill="1" applyBorder="1"/>
    <xf numFmtId="0" fontId="0" fillId="4" borderId="4" xfId="0" applyFill="1" applyBorder="1"/>
    <xf numFmtId="10" fontId="0" fillId="4" borderId="4" xfId="2" applyNumberFormat="1" applyFont="1" applyFill="1" applyBorder="1"/>
    <xf numFmtId="10" fontId="0" fillId="4" borderId="4" xfId="0" applyNumberFormat="1" applyFill="1" applyBorder="1"/>
    <xf numFmtId="10" fontId="0" fillId="4" borderId="3" xfId="0" applyNumberFormat="1" applyFill="1" applyBorder="1"/>
    <xf numFmtId="10" fontId="0" fillId="4" borderId="0" xfId="0" applyNumberFormat="1" applyFill="1" applyBorder="1"/>
    <xf numFmtId="167" fontId="0" fillId="4" borderId="4" xfId="0" applyNumberFormat="1" applyFill="1" applyBorder="1"/>
    <xf numFmtId="167" fontId="0" fillId="4" borderId="3" xfId="0" applyNumberFormat="1" applyFill="1" applyBorder="1"/>
    <xf numFmtId="167" fontId="0" fillId="4" borderId="0" xfId="0" applyNumberFormat="1" applyFill="1" applyBorder="1"/>
    <xf numFmtId="0" fontId="8" fillId="4" borderId="3" xfId="0" applyFont="1" applyFill="1" applyBorder="1"/>
    <xf numFmtId="1" fontId="0" fillId="4" borderId="0" xfId="0" applyNumberFormat="1" applyFill="1" applyBorder="1"/>
    <xf numFmtId="1" fontId="0" fillId="4" borderId="0" xfId="2" applyNumberFormat="1" applyFont="1" applyFill="1" applyBorder="1"/>
    <xf numFmtId="1" fontId="0" fillId="4" borderId="4" xfId="0" applyNumberFormat="1" applyFill="1" applyBorder="1"/>
    <xf numFmtId="1" fontId="0" fillId="4" borderId="4" xfId="2" applyNumberFormat="1" applyFont="1" applyFill="1" applyBorder="1"/>
    <xf numFmtId="0" fontId="2" fillId="5" borderId="0" xfId="0" applyFont="1" applyFill="1" applyAlignment="1">
      <alignment horizontal="right"/>
    </xf>
    <xf numFmtId="0" fontId="0" fillId="4" borderId="0" xfId="0" applyFill="1" applyAlignment="1">
      <alignment horizontal="left"/>
    </xf>
    <xf numFmtId="168" fontId="0" fillId="4" borderId="0" xfId="0" applyNumberFormat="1" applyFill="1"/>
    <xf numFmtId="0" fontId="0" fillId="6" borderId="0" xfId="0" applyFill="1" applyAlignment="1">
      <alignment horizontal="left"/>
    </xf>
    <xf numFmtId="169" fontId="0" fillId="6" borderId="0" xfId="0" applyNumberFormat="1" applyFill="1"/>
    <xf numFmtId="166" fontId="0" fillId="6" borderId="0" xfId="0" applyNumberFormat="1" applyFill="1"/>
    <xf numFmtId="10" fontId="0" fillId="6" borderId="0" xfId="2" applyNumberFormat="1" applyFont="1" applyFill="1"/>
    <xf numFmtId="0" fontId="10" fillId="4" borderId="0" xfId="0" applyFont="1" applyFill="1"/>
    <xf numFmtId="0" fontId="11" fillId="4" borderId="5" xfId="0" applyFont="1" applyFill="1" applyBorder="1"/>
    <xf numFmtId="168" fontId="11" fillId="4" borderId="5" xfId="0" applyNumberFormat="1" applyFont="1" applyFill="1" applyBorder="1"/>
    <xf numFmtId="0" fontId="11" fillId="4" borderId="0" xfId="0" applyFont="1" applyFill="1" applyBorder="1" applyAlignment="1">
      <alignment horizontal="right"/>
    </xf>
    <xf numFmtId="0" fontId="11" fillId="6" borderId="0" xfId="0" applyFont="1" applyFill="1" applyBorder="1" applyAlignment="1">
      <alignment horizontal="right"/>
    </xf>
    <xf numFmtId="169" fontId="11" fillId="6" borderId="5" xfId="0" applyNumberFormat="1" applyFont="1" applyFill="1" applyBorder="1"/>
    <xf numFmtId="0" fontId="0" fillId="6" borderId="0" xfId="0" applyFill="1"/>
    <xf numFmtId="0" fontId="10" fillId="8" borderId="6" xfId="0" applyFont="1" applyFill="1" applyBorder="1"/>
    <xf numFmtId="0" fontId="12" fillId="4" borderId="0" xfId="0" applyFont="1" applyFill="1"/>
    <xf numFmtId="10" fontId="12" fillId="4" borderId="0" xfId="2" applyNumberFormat="1" applyFont="1" applyFill="1"/>
    <xf numFmtId="10" fontId="12" fillId="6" borderId="0" xfId="2" applyNumberFormat="1" applyFont="1" applyFill="1"/>
    <xf numFmtId="166" fontId="3" fillId="6" borderId="0" xfId="0" applyNumberFormat="1" applyFont="1" applyFill="1"/>
    <xf numFmtId="166" fontId="3" fillId="6" borderId="1" xfId="0" applyNumberFormat="1" applyFont="1" applyFill="1" applyBorder="1"/>
    <xf numFmtId="10" fontId="13" fillId="4" borderId="0" xfId="2" applyNumberFormat="1" applyFont="1" applyFill="1"/>
    <xf numFmtId="10" fontId="13" fillId="6" borderId="0" xfId="2" applyNumberFormat="1" applyFont="1" applyFill="1"/>
    <xf numFmtId="10" fontId="0" fillId="6" borderId="0" xfId="0" applyNumberFormat="1" applyFill="1"/>
    <xf numFmtId="0" fontId="0" fillId="4" borderId="7" xfId="0" applyFill="1" applyBorder="1"/>
    <xf numFmtId="166" fontId="0" fillId="4" borderId="7" xfId="0" applyNumberFormat="1" applyFill="1" applyBorder="1"/>
    <xf numFmtId="10" fontId="0" fillId="4" borderId="7" xfId="2" applyNumberFormat="1" applyFont="1" applyFill="1" applyBorder="1"/>
    <xf numFmtId="166" fontId="0" fillId="6" borderId="7" xfId="0" applyNumberFormat="1" applyFill="1" applyBorder="1"/>
    <xf numFmtId="10" fontId="0" fillId="6" borderId="7" xfId="2" applyNumberFormat="1" applyFont="1" applyFill="1" applyBorder="1"/>
    <xf numFmtId="0" fontId="14" fillId="4" borderId="0" xfId="0" applyFont="1" applyFill="1" applyAlignment="1">
      <alignment horizontal="left"/>
    </xf>
    <xf numFmtId="0" fontId="15" fillId="4" borderId="0" xfId="0" applyFont="1" applyFill="1"/>
    <xf numFmtId="0" fontId="16" fillId="4" borderId="0" xfId="0" applyFont="1" applyFill="1"/>
    <xf numFmtId="0" fontId="17" fillId="4" borderId="5" xfId="0" applyFont="1" applyFill="1" applyBorder="1" applyAlignment="1">
      <alignment horizontal="left" wrapText="1"/>
    </xf>
    <xf numFmtId="0" fontId="17" fillId="4" borderId="5" xfId="0" applyFont="1" applyFill="1" applyBorder="1" applyAlignment="1">
      <alignment horizontal="right" wrapText="1"/>
    </xf>
    <xf numFmtId="0" fontId="17" fillId="4" borderId="0" xfId="0" applyFont="1" applyFill="1" applyBorder="1" applyAlignment="1">
      <alignment horizontal="right" wrapText="1"/>
    </xf>
    <xf numFmtId="0" fontId="17" fillId="6" borderId="5" xfId="0" applyFont="1" applyFill="1" applyBorder="1" applyAlignment="1">
      <alignment horizontal="right" wrapText="1"/>
    </xf>
    <xf numFmtId="0" fontId="17" fillId="4" borderId="0" xfId="0" applyFont="1" applyFill="1" applyAlignment="1">
      <alignment horizontal="right" wrapText="1"/>
    </xf>
    <xf numFmtId="9" fontId="17" fillId="4" borderId="5" xfId="2" applyFont="1" applyFill="1" applyBorder="1" applyAlignment="1">
      <alignment horizontal="right" wrapText="1"/>
    </xf>
    <xf numFmtId="37" fontId="15" fillId="4" borderId="0" xfId="0" applyNumberFormat="1" applyFont="1" applyFill="1"/>
    <xf numFmtId="0" fontId="15" fillId="4" borderId="7" xfId="0" applyFont="1" applyFill="1" applyBorder="1"/>
    <xf numFmtId="0" fontId="17" fillId="4" borderId="0" xfId="0" applyFont="1" applyFill="1"/>
    <xf numFmtId="37" fontId="17" fillId="6" borderId="0" xfId="0" applyNumberFormat="1" applyFont="1" applyFill="1"/>
    <xf numFmtId="37" fontId="15" fillId="4" borderId="7" xfId="0" applyNumberFormat="1" applyFont="1" applyFill="1" applyBorder="1"/>
    <xf numFmtId="37" fontId="16" fillId="4" borderId="0" xfId="0" applyNumberFormat="1" applyFont="1" applyFill="1"/>
    <xf numFmtId="166" fontId="3" fillId="6" borderId="2" xfId="0" applyNumberFormat="1" applyFont="1" applyFill="1" applyBorder="1"/>
    <xf numFmtId="166" fontId="3" fillId="4" borderId="0" xfId="0" applyNumberFormat="1" applyFont="1" applyFill="1" applyBorder="1"/>
    <xf numFmtId="166" fontId="3" fillId="6" borderId="0" xfId="0" applyNumberFormat="1" applyFont="1" applyFill="1" applyBorder="1"/>
    <xf numFmtId="2" fontId="15" fillId="6" borderId="7" xfId="2" applyNumberFormat="1" applyFont="1" applyFill="1" applyBorder="1"/>
    <xf numFmtId="10" fontId="18" fillId="5" borderId="9" xfId="0" applyNumberFormat="1" applyFont="1" applyFill="1" applyBorder="1"/>
    <xf numFmtId="9" fontId="18" fillId="5" borderId="11" xfId="0" applyNumberFormat="1" applyFont="1" applyFill="1" applyBorder="1"/>
    <xf numFmtId="0" fontId="19" fillId="4" borderId="8" xfId="0" applyFont="1" applyFill="1" applyBorder="1"/>
    <xf numFmtId="0" fontId="19" fillId="4" borderId="10" xfId="0" applyFont="1" applyFill="1" applyBorder="1"/>
    <xf numFmtId="0" fontId="15" fillId="9" borderId="0" xfId="0" applyFont="1" applyFill="1"/>
    <xf numFmtId="37" fontId="18" fillId="5" borderId="0" xfId="0" applyNumberFormat="1" applyFont="1" applyFill="1"/>
    <xf numFmtId="166" fontId="0" fillId="4" borderId="0" xfId="0" applyNumberFormat="1" applyFont="1" applyFill="1" applyBorder="1"/>
    <xf numFmtId="166" fontId="0" fillId="4" borderId="7" xfId="0" applyNumberFormat="1" applyFont="1" applyFill="1" applyBorder="1"/>
    <xf numFmtId="170" fontId="0" fillId="4" borderId="0" xfId="0" applyNumberFormat="1" applyFont="1" applyFill="1" applyBorder="1"/>
    <xf numFmtId="166" fontId="2" fillId="5" borderId="0" xfId="0" applyNumberFormat="1" applyFont="1" applyFill="1" applyBorder="1"/>
    <xf numFmtId="37" fontId="20" fillId="4" borderId="0" xfId="0" applyNumberFormat="1" applyFont="1" applyFill="1"/>
    <xf numFmtId="9" fontId="3" fillId="9" borderId="2" xfId="2" applyFont="1" applyFill="1" applyBorder="1"/>
    <xf numFmtId="10" fontId="3" fillId="9" borderId="2" xfId="2" applyNumberFormat="1" applyFont="1" applyFill="1" applyBorder="1"/>
    <xf numFmtId="10" fontId="0" fillId="4" borderId="3" xfId="2" applyNumberFormat="1" applyFont="1" applyFill="1" applyBorder="1" applyAlignment="1">
      <alignment horizontal="center"/>
    </xf>
    <xf numFmtId="10" fontId="0" fillId="4" borderId="0" xfId="2" applyNumberFormat="1" applyFont="1" applyFill="1" applyBorder="1" applyAlignment="1">
      <alignment horizontal="center"/>
    </xf>
    <xf numFmtId="10" fontId="0" fillId="4" borderId="4" xfId="2" applyNumberFormat="1" applyFont="1" applyFill="1" applyBorder="1" applyAlignment="1">
      <alignment horizontal="center"/>
    </xf>
    <xf numFmtId="0" fontId="21" fillId="4" borderId="0" xfId="0" applyFont="1" applyFill="1"/>
    <xf numFmtId="3" fontId="0" fillId="4" borderId="0" xfId="0" applyNumberFormat="1" applyFill="1"/>
    <xf numFmtId="0" fontId="0" fillId="10" borderId="0" xfId="0" applyFill="1"/>
    <xf numFmtId="0" fontId="22" fillId="5" borderId="0" xfId="0" applyFont="1" applyFill="1"/>
    <xf numFmtId="17" fontId="11" fillId="4" borderId="0" xfId="0" applyNumberFormat="1" applyFont="1" applyFill="1"/>
    <xf numFmtId="0" fontId="11" fillId="4" borderId="12" xfId="0" applyFont="1" applyFill="1" applyBorder="1"/>
    <xf numFmtId="17" fontId="11" fillId="4" borderId="12" xfId="0" applyNumberFormat="1" applyFont="1" applyFill="1" applyBorder="1"/>
    <xf numFmtId="0" fontId="3" fillId="4" borderId="13" xfId="0" applyFont="1" applyFill="1" applyBorder="1"/>
    <xf numFmtId="3" fontId="3" fillId="4" borderId="13" xfId="0" applyNumberFormat="1" applyFont="1" applyFill="1" applyBorder="1"/>
    <xf numFmtId="0" fontId="0" fillId="4" borderId="0" xfId="0" applyFont="1" applyFill="1"/>
    <xf numFmtId="10" fontId="3" fillId="4" borderId="13" xfId="2" applyNumberFormat="1" applyFont="1" applyFill="1" applyBorder="1"/>
    <xf numFmtId="168" fontId="2" fillId="5" borderId="5" xfId="0" applyNumberFormat="1" applyFont="1" applyFill="1" applyBorder="1"/>
    <xf numFmtId="17" fontId="2" fillId="5" borderId="5" xfId="0" applyNumberFormat="1" applyFont="1" applyFill="1" applyBorder="1"/>
    <xf numFmtId="0" fontId="9" fillId="4" borderId="0" xfId="0" applyFont="1" applyFill="1"/>
    <xf numFmtId="0" fontId="24" fillId="4" borderId="0" xfId="0" applyFont="1" applyFill="1"/>
    <xf numFmtId="17" fontId="11" fillId="11" borderId="0" xfId="0" applyNumberFormat="1" applyFont="1" applyFill="1"/>
    <xf numFmtId="3" fontId="23" fillId="11" borderId="13" xfId="0" applyNumberFormat="1" applyFont="1" applyFill="1" applyBorder="1"/>
    <xf numFmtId="3" fontId="9" fillId="11" borderId="0" xfId="0" applyNumberFormat="1" applyFont="1" applyFill="1"/>
    <xf numFmtId="0" fontId="9" fillId="11" borderId="0" xfId="0" applyFont="1" applyFill="1"/>
    <xf numFmtId="0" fontId="23" fillId="11" borderId="13" xfId="0" applyFont="1" applyFill="1" applyBorder="1"/>
    <xf numFmtId="9" fontId="25" fillId="4" borderId="0" xfId="0" applyNumberFormat="1" applyFont="1" applyFill="1"/>
    <xf numFmtId="10" fontId="0" fillId="4" borderId="0" xfId="0" applyNumberFormat="1" applyFill="1"/>
    <xf numFmtId="0" fontId="3" fillId="4" borderId="14" xfId="0" applyFont="1" applyFill="1" applyBorder="1"/>
    <xf numFmtId="10" fontId="3" fillId="4" borderId="15" xfId="0" applyNumberFormat="1" applyFont="1" applyFill="1" applyBorder="1"/>
    <xf numFmtId="0" fontId="3" fillId="4" borderId="16" xfId="0" applyFont="1" applyFill="1" applyBorder="1"/>
    <xf numFmtId="10" fontId="3" fillId="4" borderId="17" xfId="0" applyNumberFormat="1" applyFont="1" applyFill="1" applyBorder="1"/>
    <xf numFmtId="0" fontId="27" fillId="10" borderId="0" xfId="0" applyFont="1" applyFill="1"/>
    <xf numFmtId="0" fontId="26" fillId="4" borderId="0" xfId="0" applyFont="1" applyFill="1"/>
    <xf numFmtId="0" fontId="3" fillId="4" borderId="0" xfId="0" applyFont="1" applyFill="1" applyAlignment="1">
      <alignment wrapText="1"/>
    </xf>
    <xf numFmtId="171" fontId="0" fillId="4" borderId="0" xfId="0" applyNumberFormat="1" applyFill="1"/>
    <xf numFmtId="171" fontId="0" fillId="4" borderId="0" xfId="0" applyNumberFormat="1" applyFill="1" applyAlignment="1">
      <alignment horizontal="center"/>
    </xf>
    <xf numFmtId="171" fontId="3" fillId="4" borderId="13" xfId="0" applyNumberFormat="1" applyFont="1" applyFill="1" applyBorder="1"/>
    <xf numFmtId="10" fontId="0" fillId="4" borderId="0" xfId="2" applyNumberFormat="1" applyFont="1" applyFill="1" applyAlignment="1">
      <alignment horizontal="center"/>
    </xf>
    <xf numFmtId="0" fontId="28" fillId="4" borderId="0" xfId="0" applyFont="1" applyFill="1"/>
    <xf numFmtId="0" fontId="2" fillId="5" borderId="0" xfId="0" applyFont="1" applyFill="1" applyAlignment="1">
      <alignment horizontal="center"/>
    </xf>
    <xf numFmtId="0" fontId="18" fillId="5" borderId="0" xfId="0" applyFont="1" applyFill="1" applyAlignment="1">
      <alignment horizontal="center"/>
    </xf>
    <xf numFmtId="164" fontId="5" fillId="0" borderId="0" xfId="4" applyNumberFormat="1" applyBorder="1" applyAlignment="1" applyProtection="1">
      <alignment horizontal="center"/>
    </xf>
    <xf numFmtId="164" fontId="2" fillId="2" borderId="0" xfId="3" applyNumberFormat="1" applyFont="1" applyBorder="1" applyAlignment="1">
      <alignment horizontal="center"/>
    </xf>
    <xf numFmtId="9" fontId="0" fillId="4" borderId="0" xfId="2" applyFont="1" applyFill="1"/>
    <xf numFmtId="0" fontId="0" fillId="4" borderId="19" xfId="0" applyFill="1" applyBorder="1"/>
    <xf numFmtId="0" fontId="0" fillId="4" borderId="12" xfId="0" applyFill="1" applyBorder="1"/>
    <xf numFmtId="172" fontId="9" fillId="4" borderId="0" xfId="0" applyNumberFormat="1" applyFont="1" applyFill="1"/>
    <xf numFmtId="10" fontId="9" fillId="4" borderId="0" xfId="0" applyNumberFormat="1" applyFont="1" applyFill="1"/>
    <xf numFmtId="2" fontId="9" fillId="4" borderId="0" xfId="0" applyNumberFormat="1" applyFont="1" applyFill="1"/>
    <xf numFmtId="0" fontId="3" fillId="4" borderId="20" xfId="0" applyFont="1" applyFill="1" applyBorder="1"/>
    <xf numFmtId="10" fontId="0" fillId="4" borderId="20" xfId="0" applyNumberFormat="1" applyFill="1" applyBorder="1"/>
    <xf numFmtId="2" fontId="0" fillId="4" borderId="20" xfId="0" applyNumberFormat="1" applyFont="1" applyFill="1" applyBorder="1"/>
    <xf numFmtId="0" fontId="3" fillId="4" borderId="7" xfId="0" applyFont="1" applyFill="1" applyBorder="1"/>
    <xf numFmtId="10" fontId="0" fillId="4" borderId="7" xfId="0" applyNumberFormat="1" applyFill="1" applyBorder="1"/>
    <xf numFmtId="2" fontId="0" fillId="4" borderId="7" xfId="0" applyNumberFormat="1" applyFont="1" applyFill="1" applyBorder="1"/>
    <xf numFmtId="2" fontId="0" fillId="4" borderId="0" xfId="0" applyNumberFormat="1" applyFill="1"/>
    <xf numFmtId="0" fontId="3" fillId="4" borderId="21" xfId="0" applyFont="1" applyFill="1" applyBorder="1" applyAlignment="1">
      <alignment horizontal="right"/>
    </xf>
    <xf numFmtId="2" fontId="0" fillId="4" borderId="3" xfId="0" applyNumberFormat="1" applyFill="1" applyBorder="1"/>
    <xf numFmtId="0" fontId="3" fillId="4" borderId="3" xfId="0" applyFont="1" applyFill="1" applyBorder="1"/>
    <xf numFmtId="0" fontId="28" fillId="4" borderId="0" xfId="0" applyFont="1" applyFill="1" applyAlignment="1">
      <alignment vertical="top"/>
    </xf>
    <xf numFmtId="0" fontId="30" fillId="4" borderId="0" xfId="4" applyFont="1" applyFill="1" applyAlignment="1" applyProtection="1">
      <alignment vertical="top"/>
    </xf>
    <xf numFmtId="10" fontId="0" fillId="4" borderId="20" xfId="2" applyNumberFormat="1" applyFont="1" applyFill="1" applyBorder="1"/>
    <xf numFmtId="2" fontId="0" fillId="4" borderId="20" xfId="0" applyNumberFormat="1" applyFill="1" applyBorder="1"/>
    <xf numFmtId="2" fontId="0" fillId="4" borderId="7" xfId="0" applyNumberFormat="1" applyFill="1" applyBorder="1"/>
    <xf numFmtId="0" fontId="10" fillId="13" borderId="0" xfId="0" applyFont="1" applyFill="1"/>
    <xf numFmtId="0" fontId="3" fillId="13" borderId="0" xfId="0" applyFont="1" applyFill="1"/>
    <xf numFmtId="10" fontId="3" fillId="12" borderId="18" xfId="5" applyNumberFormat="1" applyFont="1"/>
  </cellXfs>
  <cellStyles count="6">
    <cellStyle name="Accent6" xfId="3" builtinId="49"/>
    <cellStyle name="Comma" xfId="1" builtinId="3"/>
    <cellStyle name="Hyperlink" xfId="4" builtinId="8"/>
    <cellStyle name="Normal" xfId="0" builtinId="0"/>
    <cellStyle name="Note" xfId="5" builtinId="10"/>
    <cellStyle name="Percent" xfId="2" builtinId="5"/>
  </cellStyles>
  <dxfs count="1">
    <dxf>
      <font>
        <b/>
        <i val="0"/>
        <color theme="0"/>
      </font>
      <fill>
        <patternFill>
          <bgColor theme="5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industan_unilever_dcfValuation_may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Input ---&gt;"/>
      <sheetName val="P&amp;L assumptions"/>
      <sheetName val="BS assumptions"/>
      <sheetName val="Output ---&gt;"/>
      <sheetName val="P&amp;L"/>
      <sheetName val="BS"/>
      <sheetName val="Cash Flow"/>
      <sheetName val="WACC calculation"/>
      <sheetName val="DCF Valuation"/>
      <sheetName val="Sources ---&gt;"/>
      <sheetName val="P&amp;L source"/>
      <sheetName val="BS Source"/>
    </sheetNames>
    <sheetDataSet>
      <sheetData sheetId="0"/>
      <sheetData sheetId="1"/>
      <sheetData sheetId="2"/>
      <sheetData sheetId="3"/>
      <sheetData sheetId="4"/>
      <sheetData sheetId="5"/>
      <sheetData sheetId="6">
        <row r="12">
          <cell r="E12">
            <v>7554</v>
          </cell>
        </row>
        <row r="19">
          <cell r="E19">
            <v>1648</v>
          </cell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pages.stern.nyu.edu/~adamodar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screener.in/exce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B1" sqref="B1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4"/>
  <sheetViews>
    <sheetView topLeftCell="A7" workbookViewId="0">
      <selection activeCell="C24" sqref="C24"/>
    </sheetView>
  </sheetViews>
  <sheetFormatPr defaultRowHeight="14.5" x14ac:dyDescent="0.35"/>
  <cols>
    <col min="1" max="1" width="1.90625" style="8" customWidth="1"/>
    <col min="2" max="2" width="33.1796875" style="8" customWidth="1"/>
    <col min="3" max="3" width="10.26953125" style="8" bestFit="1" customWidth="1"/>
    <col min="4" max="5" width="9.36328125" style="8" bestFit="1" customWidth="1"/>
    <col min="6" max="6" width="1.90625" style="8" customWidth="1"/>
    <col min="7" max="11" width="9.36328125" style="8" bestFit="1" customWidth="1"/>
    <col min="12" max="12" width="1.90625" style="8" customWidth="1"/>
    <col min="13" max="13" width="13.36328125" style="8" bestFit="1" customWidth="1"/>
    <col min="14" max="16384" width="8.7265625" style="8"/>
  </cols>
  <sheetData>
    <row r="1" spans="2:13" ht="18" x14ac:dyDescent="0.4">
      <c r="B1" s="73" t="s">
        <v>178</v>
      </c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</row>
    <row r="2" spans="2:13" ht="15" thickBot="1" x14ac:dyDescent="0.4"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</row>
    <row r="3" spans="2:13" ht="15" thickTop="1" x14ac:dyDescent="0.35">
      <c r="B3" s="94" t="s">
        <v>179</v>
      </c>
      <c r="C3" s="92">
        <f>WACC!E39</f>
        <v>9.0629565443806751E-2</v>
      </c>
      <c r="D3" s="74"/>
      <c r="E3" s="74"/>
      <c r="F3" s="74"/>
      <c r="G3" s="74"/>
      <c r="H3" s="74"/>
      <c r="I3" s="74"/>
      <c r="J3" s="74"/>
      <c r="K3" s="74"/>
      <c r="L3" s="74"/>
      <c r="M3" s="74"/>
    </row>
    <row r="4" spans="2:13" ht="15" thickBot="1" x14ac:dyDescent="0.4">
      <c r="B4" s="95" t="s">
        <v>180</v>
      </c>
      <c r="C4" s="93">
        <v>0.02</v>
      </c>
      <c r="D4" s="74"/>
      <c r="E4" s="74"/>
      <c r="F4" s="74"/>
      <c r="G4" s="74"/>
      <c r="H4" s="74"/>
      <c r="I4" s="74"/>
      <c r="J4" s="74"/>
      <c r="K4" s="74"/>
      <c r="L4" s="74"/>
      <c r="M4" s="74"/>
    </row>
    <row r="5" spans="2:13" ht="15" thickTop="1" x14ac:dyDescent="0.35"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</row>
    <row r="6" spans="2:13" x14ac:dyDescent="0.35">
      <c r="B6" s="74"/>
      <c r="C6" s="74"/>
      <c r="D6" s="74"/>
      <c r="E6" s="74"/>
      <c r="F6" s="74"/>
      <c r="G6" s="75">
        <v>1</v>
      </c>
      <c r="H6" s="75">
        <v>2</v>
      </c>
      <c r="I6" s="75">
        <v>3</v>
      </c>
      <c r="J6" s="75">
        <v>4</v>
      </c>
      <c r="K6" s="75">
        <v>5</v>
      </c>
      <c r="L6" s="74"/>
      <c r="M6" s="74"/>
    </row>
    <row r="7" spans="2:13" ht="24.5" thickBot="1" x14ac:dyDescent="0.4">
      <c r="B7" s="76" t="s">
        <v>181</v>
      </c>
      <c r="C7" s="77" t="s">
        <v>182</v>
      </c>
      <c r="D7" s="77" t="s">
        <v>183</v>
      </c>
      <c r="E7" s="77" t="s">
        <v>184</v>
      </c>
      <c r="F7" s="78"/>
      <c r="G7" s="79" t="s">
        <v>185</v>
      </c>
      <c r="H7" s="79" t="s">
        <v>186</v>
      </c>
      <c r="I7" s="79" t="s">
        <v>187</v>
      </c>
      <c r="J7" s="79" t="s">
        <v>188</v>
      </c>
      <c r="K7" s="79" t="s">
        <v>189</v>
      </c>
      <c r="L7" s="80"/>
      <c r="M7" s="81" t="s">
        <v>190</v>
      </c>
    </row>
    <row r="8" spans="2:13" x14ac:dyDescent="0.35">
      <c r="B8" s="74" t="s">
        <v>191</v>
      </c>
      <c r="C8" s="89">
        <f>FCFF!E15</f>
        <v>11649</v>
      </c>
      <c r="D8" s="89">
        <f>FCFF!F15</f>
        <v>7666.0999999999985</v>
      </c>
      <c r="E8" s="89">
        <f>FCFF!G15</f>
        <v>10653.599999999999</v>
      </c>
      <c r="F8" s="82"/>
      <c r="G8" s="90">
        <f>FCFF!H15</f>
        <v>14856.459197853279</v>
      </c>
      <c r="H8" s="90">
        <f>FCFF!I15</f>
        <v>16288.930189271668</v>
      </c>
      <c r="I8" s="90">
        <f>FCFF!J15</f>
        <v>18071.84159556331</v>
      </c>
      <c r="J8" s="90">
        <f>FCFF!K15</f>
        <v>21001.212089028482</v>
      </c>
      <c r="K8" s="90">
        <f>FCFF!L15</f>
        <v>25421.146122152822</v>
      </c>
      <c r="L8" s="74"/>
      <c r="M8" s="74"/>
    </row>
    <row r="9" spans="2:13" x14ac:dyDescent="0.35">
      <c r="B9" s="83" t="s">
        <v>192</v>
      </c>
      <c r="C9" s="83"/>
      <c r="D9" s="83"/>
      <c r="E9" s="83"/>
      <c r="F9" s="83"/>
      <c r="G9" s="91">
        <f>1/(1+$C$3)^G6</f>
        <v>0.91690160590234215</v>
      </c>
      <c r="H9" s="91">
        <f t="shared" ref="H9:K9" si="0">1/(1+$C$3)^H6</f>
        <v>0.84070855490629404</v>
      </c>
      <c r="I9" s="91">
        <f t="shared" si="0"/>
        <v>0.77084702408941841</v>
      </c>
      <c r="J9" s="91">
        <f t="shared" si="0"/>
        <v>0.70679087429262921</v>
      </c>
      <c r="K9" s="91">
        <f t="shared" si="0"/>
        <v>0.64805768767603222</v>
      </c>
      <c r="L9" s="74"/>
      <c r="M9" s="96" t="str">
        <f>"=1/((1+WACC)^t)"</f>
        <v>=1/((1+WACC)^t)</v>
      </c>
    </row>
    <row r="10" spans="2:13" x14ac:dyDescent="0.35">
      <c r="B10" s="84" t="s">
        <v>193</v>
      </c>
      <c r="C10" s="84"/>
      <c r="D10" s="84"/>
      <c r="E10" s="84"/>
      <c r="F10" s="84"/>
      <c r="G10" s="85">
        <f>G8*G9</f>
        <v>13621.911296534294</v>
      </c>
      <c r="H10" s="85">
        <f t="shared" ref="H10:K10" si="1">H8*H9</f>
        <v>13694.242960392092</v>
      </c>
      <c r="I10" s="85">
        <f t="shared" si="1"/>
        <v>13930.625313755345</v>
      </c>
      <c r="J10" s="85">
        <f t="shared" si="1"/>
        <v>14843.465053609374</v>
      </c>
      <c r="K10" s="85">
        <f t="shared" si="1"/>
        <v>16474.369173996893</v>
      </c>
      <c r="L10" s="74"/>
      <c r="M10" s="74"/>
    </row>
    <row r="11" spans="2:13" x14ac:dyDescent="0.35"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</row>
    <row r="12" spans="2:13" x14ac:dyDescent="0.35"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</row>
    <row r="13" spans="2:13" x14ac:dyDescent="0.35">
      <c r="B13" s="143" t="s">
        <v>178</v>
      </c>
      <c r="C13" s="143"/>
      <c r="D13" s="143"/>
      <c r="E13" s="143"/>
      <c r="F13" s="143"/>
      <c r="G13" s="143"/>
      <c r="H13" s="143"/>
      <c r="I13" s="143"/>
      <c r="J13" s="143"/>
      <c r="K13" s="143"/>
      <c r="L13" s="74"/>
      <c r="M13" s="74"/>
    </row>
    <row r="14" spans="2:13" x14ac:dyDescent="0.35">
      <c r="B14" s="74" t="s">
        <v>194</v>
      </c>
      <c r="C14" s="98">
        <f>SUM(G10:K10)</f>
        <v>72564.613798287988</v>
      </c>
      <c r="D14" s="74"/>
      <c r="E14" s="74"/>
      <c r="F14" s="74"/>
      <c r="G14" s="74"/>
      <c r="H14" s="74"/>
      <c r="I14" s="74"/>
      <c r="J14" s="74"/>
      <c r="K14" s="74"/>
      <c r="L14" s="74"/>
      <c r="M14" s="74"/>
    </row>
    <row r="15" spans="2:13" x14ac:dyDescent="0.35">
      <c r="B15" s="74" t="s">
        <v>195</v>
      </c>
      <c r="C15" s="98">
        <f>K8*(1+C4)/(C3-C4)</f>
        <v>367120.60851097235</v>
      </c>
      <c r="D15" s="74"/>
      <c r="E15" s="74"/>
      <c r="F15" s="74"/>
      <c r="G15" s="74"/>
      <c r="H15" s="74"/>
      <c r="I15" s="74"/>
      <c r="J15" s="74"/>
      <c r="K15" s="74"/>
      <c r="L15" s="74"/>
      <c r="M15" s="74"/>
    </row>
    <row r="16" spans="2:13" x14ac:dyDescent="0.35">
      <c r="B16" s="86" t="s">
        <v>196</v>
      </c>
      <c r="C16" s="99">
        <f>C15*K9</f>
        <v>237915.33264983862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</row>
    <row r="17" spans="2:13" x14ac:dyDescent="0.35">
      <c r="B17" s="87" t="s">
        <v>197</v>
      </c>
      <c r="C17" s="89">
        <f>C16+C14</f>
        <v>310479.94644812657</v>
      </c>
      <c r="D17" s="82"/>
      <c r="E17" s="82"/>
      <c r="F17" s="82"/>
      <c r="G17" s="82"/>
      <c r="H17" s="82"/>
      <c r="I17" s="82"/>
      <c r="J17" s="82"/>
      <c r="K17" s="82"/>
      <c r="L17" s="82"/>
      <c r="M17" s="82"/>
    </row>
    <row r="18" spans="2:13" x14ac:dyDescent="0.35">
      <c r="B18" s="82" t="s">
        <v>198</v>
      </c>
      <c r="C18" s="98">
        <f>-[1]BS!E19</f>
        <v>-1648</v>
      </c>
      <c r="D18" s="82"/>
      <c r="E18" s="82"/>
      <c r="F18" s="82"/>
      <c r="G18" s="82"/>
      <c r="H18" s="82"/>
      <c r="I18" s="82"/>
      <c r="J18" s="82"/>
      <c r="K18" s="82"/>
      <c r="L18" s="82"/>
      <c r="M18" s="82"/>
    </row>
    <row r="19" spans="2:13" x14ac:dyDescent="0.35">
      <c r="B19" s="86" t="s">
        <v>199</v>
      </c>
      <c r="C19" s="99">
        <f>[1]BS!E12</f>
        <v>7554</v>
      </c>
      <c r="D19" s="82"/>
      <c r="E19" s="82"/>
      <c r="F19" s="82"/>
      <c r="G19" s="82"/>
      <c r="H19" s="82"/>
      <c r="I19" s="82"/>
      <c r="J19" s="82"/>
      <c r="K19" s="82"/>
      <c r="L19" s="82"/>
      <c r="M19" s="82"/>
    </row>
    <row r="20" spans="2:13" x14ac:dyDescent="0.35">
      <c r="B20" s="87" t="s">
        <v>200</v>
      </c>
      <c r="C20" s="89">
        <f>SUM(C17:C19)</f>
        <v>316385.94644812657</v>
      </c>
      <c r="D20" s="82"/>
      <c r="E20" s="82"/>
      <c r="F20" s="82"/>
      <c r="G20" s="82"/>
      <c r="H20" s="82"/>
      <c r="I20" s="82"/>
      <c r="J20" s="82"/>
      <c r="K20" s="82"/>
      <c r="L20" s="82"/>
      <c r="M20" s="82"/>
    </row>
    <row r="21" spans="2:13" x14ac:dyDescent="0.35">
      <c r="B21" s="82" t="s">
        <v>201</v>
      </c>
      <c r="C21" s="100">
        <f>2349591262/10000000</f>
        <v>234.95912619999999</v>
      </c>
      <c r="D21" s="82"/>
      <c r="E21" s="82"/>
      <c r="F21" s="82"/>
      <c r="G21" s="82"/>
      <c r="H21" s="82"/>
      <c r="I21" s="82"/>
      <c r="J21" s="82"/>
      <c r="K21" s="82"/>
      <c r="L21" s="82"/>
      <c r="M21" s="82"/>
    </row>
    <row r="22" spans="2:13" x14ac:dyDescent="0.35">
      <c r="B22" s="97" t="s">
        <v>202</v>
      </c>
      <c r="C22" s="101">
        <f>C20/C21</f>
        <v>1346.5573845334065</v>
      </c>
      <c r="D22" s="102" t="s">
        <v>258</v>
      </c>
      <c r="E22" s="82"/>
      <c r="F22" s="82"/>
      <c r="G22" s="82"/>
      <c r="H22" s="82"/>
      <c r="I22" s="82"/>
      <c r="J22" s="82"/>
      <c r="K22" s="82"/>
      <c r="L22" s="82"/>
      <c r="M22" s="82"/>
    </row>
    <row r="23" spans="2:13" x14ac:dyDescent="0.35">
      <c r="B23" s="11" t="s">
        <v>203</v>
      </c>
      <c r="C23" s="89">
        <f>2372</f>
        <v>2372</v>
      </c>
      <c r="D23" s="102" t="s">
        <v>258</v>
      </c>
    </row>
    <row r="24" spans="2:13" ht="15" thickBot="1" x14ac:dyDescent="0.4">
      <c r="B24" s="103" t="s">
        <v>204</v>
      </c>
      <c r="C24" s="104">
        <f>(C23-C22)/C22</f>
        <v>0.76152908687357423</v>
      </c>
      <c r="D24" s="102" t="s">
        <v>258</v>
      </c>
    </row>
  </sheetData>
  <mergeCells count="1">
    <mergeCell ref="B13:K1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0"/>
  <sheetViews>
    <sheetView tabSelected="1" topLeftCell="A32" workbookViewId="0">
      <selection activeCell="A54" sqref="A54"/>
    </sheetView>
  </sheetViews>
  <sheetFormatPr defaultRowHeight="14.5" x14ac:dyDescent="0.35"/>
  <cols>
    <col min="1" max="1" width="1.90625" style="8" customWidth="1"/>
    <col min="2" max="10" width="10.6328125" style="8" customWidth="1"/>
    <col min="11" max="16384" width="8.7265625" style="8"/>
  </cols>
  <sheetData>
    <row r="1" spans="1:10" x14ac:dyDescent="0.35">
      <c r="A1" s="146"/>
    </row>
    <row r="2" spans="1:10" ht="18.5" x14ac:dyDescent="0.45">
      <c r="A2" s="146"/>
      <c r="B2" s="167" t="s">
        <v>259</v>
      </c>
      <c r="C2" s="168"/>
      <c r="D2" s="168"/>
      <c r="E2" s="168"/>
      <c r="F2" s="168"/>
      <c r="G2" s="168"/>
      <c r="H2" s="168"/>
      <c r="I2" s="168"/>
      <c r="J2" s="168"/>
    </row>
    <row r="3" spans="1:10" x14ac:dyDescent="0.35">
      <c r="A3" s="146"/>
    </row>
    <row r="4" spans="1:10" x14ac:dyDescent="0.35">
      <c r="A4" s="146"/>
      <c r="B4" s="60" t="s">
        <v>260</v>
      </c>
    </row>
    <row r="5" spans="1:10" x14ac:dyDescent="0.35">
      <c r="A5" s="146"/>
    </row>
    <row r="6" spans="1:10" x14ac:dyDescent="0.35">
      <c r="A6" s="146"/>
      <c r="B6" s="11" t="s">
        <v>261</v>
      </c>
    </row>
    <row r="7" spans="1:10" x14ac:dyDescent="0.35">
      <c r="A7" s="146"/>
      <c r="B7" s="147"/>
      <c r="C7" s="147"/>
      <c r="D7" s="147"/>
      <c r="E7" s="147"/>
      <c r="F7" s="147"/>
      <c r="G7" s="147" t="s">
        <v>262</v>
      </c>
      <c r="H7" s="147" t="s">
        <v>262</v>
      </c>
      <c r="I7" s="147" t="s">
        <v>263</v>
      </c>
      <c r="J7" s="147" t="s">
        <v>264</v>
      </c>
    </row>
    <row r="8" spans="1:10" ht="16.5" x14ac:dyDescent="0.35">
      <c r="A8" s="146"/>
      <c r="B8" s="148" t="s">
        <v>265</v>
      </c>
      <c r="C8" s="148" t="s">
        <v>266</v>
      </c>
      <c r="D8" s="148" t="s">
        <v>267</v>
      </c>
      <c r="E8" s="148" t="s">
        <v>268</v>
      </c>
      <c r="F8" s="148" t="s">
        <v>269</v>
      </c>
      <c r="G8" s="148" t="s">
        <v>270</v>
      </c>
      <c r="H8" s="148" t="s">
        <v>271</v>
      </c>
      <c r="I8" s="148" t="s">
        <v>272</v>
      </c>
      <c r="J8" s="148" t="s">
        <v>273</v>
      </c>
    </row>
    <row r="9" spans="1:10" x14ac:dyDescent="0.35">
      <c r="A9" s="146"/>
    </row>
    <row r="10" spans="1:10" x14ac:dyDescent="0.35">
      <c r="A10" s="146"/>
      <c r="B10" s="121" t="s">
        <v>274</v>
      </c>
      <c r="C10" s="121" t="s">
        <v>275</v>
      </c>
      <c r="D10" s="149">
        <v>1648</v>
      </c>
      <c r="E10" s="149">
        <v>558967.75</v>
      </c>
      <c r="F10" s="150">
        <v>0.25</v>
      </c>
      <c r="G10" s="14">
        <f>D10/E10</f>
        <v>2.9482917395502691E-3</v>
      </c>
      <c r="H10" s="14">
        <f>D10/(D10+E10)</f>
        <v>2.9396248678350547E-3</v>
      </c>
      <c r="I10" s="151">
        <v>0.4</v>
      </c>
      <c r="J10" s="158">
        <f>I10/(1+(1-F10)*(G10))</f>
        <v>0.39911746395842584</v>
      </c>
    </row>
    <row r="11" spans="1:10" x14ac:dyDescent="0.35">
      <c r="A11" s="146"/>
      <c r="B11" s="121" t="s">
        <v>276</v>
      </c>
      <c r="C11" s="121" t="s">
        <v>275</v>
      </c>
      <c r="D11" s="149">
        <v>3915.47</v>
      </c>
      <c r="E11" s="149">
        <v>234796.38</v>
      </c>
      <c r="F11" s="150">
        <v>0.25</v>
      </c>
      <c r="G11" s="14">
        <f t="shared" ref="G11:G14" si="0">D11/E11</f>
        <v>1.6676023710416658E-2</v>
      </c>
      <c r="H11" s="14">
        <f t="shared" ref="H11:H14" si="1">D11/(D11+E11)</f>
        <v>1.6402495309721741E-2</v>
      </c>
      <c r="I11" s="151">
        <v>0.7</v>
      </c>
      <c r="J11" s="158">
        <f t="shared" ref="J11:J14" si="2">I11/(1+(1-F11)*(G11))</f>
        <v>0.69135323282287919</v>
      </c>
    </row>
    <row r="12" spans="1:10" x14ac:dyDescent="0.35">
      <c r="A12" s="146"/>
      <c r="B12" s="121" t="s">
        <v>277</v>
      </c>
      <c r="C12" s="121" t="s">
        <v>275</v>
      </c>
      <c r="D12" s="149">
        <v>1246.51</v>
      </c>
      <c r="E12" s="149">
        <v>132899.12</v>
      </c>
      <c r="F12" s="150">
        <v>0.25</v>
      </c>
      <c r="G12" s="14">
        <f t="shared" si="0"/>
        <v>9.3793698558726352E-3</v>
      </c>
      <c r="H12" s="14">
        <f t="shared" si="1"/>
        <v>9.2922147370734318E-3</v>
      </c>
      <c r="I12" s="151">
        <v>0.6</v>
      </c>
      <c r="J12" s="158">
        <f t="shared" si="2"/>
        <v>0.59580876690884288</v>
      </c>
    </row>
    <row r="13" spans="1:10" x14ac:dyDescent="0.35">
      <c r="A13" s="146"/>
      <c r="B13" s="121" t="s">
        <v>278</v>
      </c>
      <c r="C13" s="121" t="s">
        <v>275</v>
      </c>
      <c r="D13" s="149">
        <v>4004.49</v>
      </c>
      <c r="E13" s="149">
        <v>131937.35</v>
      </c>
      <c r="F13" s="150">
        <v>0.25</v>
      </c>
      <c r="G13" s="14">
        <f t="shared" si="0"/>
        <v>3.0351450896959804E-2</v>
      </c>
      <c r="H13" s="14">
        <f t="shared" si="1"/>
        <v>2.9457376772302035E-2</v>
      </c>
      <c r="I13" s="151">
        <v>0.75</v>
      </c>
      <c r="J13" s="158">
        <f t="shared" si="2"/>
        <v>0.73330729473852097</v>
      </c>
    </row>
    <row r="14" spans="1:10" x14ac:dyDescent="0.35">
      <c r="A14" s="146"/>
      <c r="B14" s="121" t="s">
        <v>279</v>
      </c>
      <c r="C14" s="121" t="s">
        <v>275</v>
      </c>
      <c r="D14" s="149">
        <v>950.37</v>
      </c>
      <c r="E14" s="149">
        <v>85673.87</v>
      </c>
      <c r="F14" s="150">
        <v>0.25</v>
      </c>
      <c r="G14" s="14">
        <f t="shared" si="0"/>
        <v>1.1092880478026732E-2</v>
      </c>
      <c r="H14" s="14">
        <f t="shared" si="1"/>
        <v>1.0971178506154861E-2</v>
      </c>
      <c r="I14" s="151">
        <v>0.9</v>
      </c>
      <c r="J14" s="158">
        <f t="shared" si="2"/>
        <v>0.89257408675339556</v>
      </c>
    </row>
    <row r="15" spans="1:10" x14ac:dyDescent="0.35">
      <c r="A15" s="146"/>
    </row>
    <row r="16" spans="1:10" x14ac:dyDescent="0.35">
      <c r="A16" s="146"/>
      <c r="E16" s="152" t="s">
        <v>280</v>
      </c>
      <c r="F16" s="153">
        <f>AVERAGE(F10:F14)</f>
        <v>0.25</v>
      </c>
      <c r="G16" s="164">
        <f t="shared" ref="G16:J16" si="3">AVERAGE(G10:G14)</f>
        <v>1.4089603336165218E-2</v>
      </c>
      <c r="H16" s="164">
        <f t="shared" si="3"/>
        <v>1.3812578038617426E-2</v>
      </c>
      <c r="I16" s="154">
        <f t="shared" si="3"/>
        <v>0.67</v>
      </c>
      <c r="J16" s="165">
        <f t="shared" si="3"/>
        <v>0.66243216903641289</v>
      </c>
    </row>
    <row r="17" spans="1:10" x14ac:dyDescent="0.35">
      <c r="A17" s="146"/>
      <c r="E17" s="155" t="s">
        <v>153</v>
      </c>
      <c r="F17" s="156">
        <f>MEDIAN(F10:F14)</f>
        <v>0.25</v>
      </c>
      <c r="G17" s="70">
        <f t="shared" ref="G17:J17" si="4">MEDIAN(G10:G14)</f>
        <v>1.1092880478026732E-2</v>
      </c>
      <c r="H17" s="70">
        <f t="shared" si="4"/>
        <v>1.0971178506154861E-2</v>
      </c>
      <c r="I17" s="157">
        <f t="shared" si="4"/>
        <v>0.7</v>
      </c>
      <c r="J17" s="166">
        <f t="shared" si="4"/>
        <v>0.69135323282287919</v>
      </c>
    </row>
    <row r="18" spans="1:10" x14ac:dyDescent="0.35">
      <c r="A18" s="146"/>
    </row>
    <row r="19" spans="1:10" x14ac:dyDescent="0.35">
      <c r="A19" s="146"/>
    </row>
    <row r="20" spans="1:10" x14ac:dyDescent="0.35">
      <c r="A20" s="146"/>
      <c r="B20" s="155" t="s">
        <v>281</v>
      </c>
      <c r="C20" s="68"/>
      <c r="D20" s="68"/>
      <c r="E20" s="155"/>
      <c r="G20" s="155" t="s">
        <v>282</v>
      </c>
      <c r="H20" s="155"/>
      <c r="I20" s="68"/>
      <c r="J20" s="68"/>
    </row>
    <row r="21" spans="1:10" x14ac:dyDescent="0.35">
      <c r="A21" s="146"/>
      <c r="E21" s="13"/>
    </row>
    <row r="22" spans="1:10" ht="16.5" x14ac:dyDescent="0.35">
      <c r="A22" s="146"/>
      <c r="B22" s="8" t="s">
        <v>283</v>
      </c>
      <c r="E22" s="150">
        <f>4.04% + 2.93% + 0.45%</f>
        <v>7.4200000000000002E-2</v>
      </c>
      <c r="G22" s="8" t="s">
        <v>284</v>
      </c>
      <c r="J22" s="150">
        <f>6.22% - 2.18%</f>
        <v>4.0399999999999998E-2</v>
      </c>
    </row>
    <row r="23" spans="1:10" ht="16.5" x14ac:dyDescent="0.35">
      <c r="A23" s="146"/>
      <c r="B23" s="8" t="s">
        <v>285</v>
      </c>
      <c r="C23" s="32"/>
      <c r="D23" s="32"/>
      <c r="E23" s="129">
        <v>0.25</v>
      </c>
      <c r="G23" s="8" t="s">
        <v>286</v>
      </c>
      <c r="J23" s="150">
        <v>7.2599999999999998E-2</v>
      </c>
    </row>
    <row r="24" spans="1:10" ht="16.5" x14ac:dyDescent="0.35">
      <c r="A24" s="146"/>
      <c r="B24" s="28" t="s">
        <v>287</v>
      </c>
      <c r="E24" s="29">
        <f>E22*(1-E23)</f>
        <v>5.5650000000000005E-2</v>
      </c>
      <c r="G24" s="8" t="s">
        <v>288</v>
      </c>
      <c r="J24" s="158">
        <f>J32</f>
        <v>0.69861557231430982</v>
      </c>
    </row>
    <row r="25" spans="1:10" x14ac:dyDescent="0.35">
      <c r="A25" s="146"/>
      <c r="G25" s="28" t="s">
        <v>289</v>
      </c>
      <c r="H25" s="28"/>
      <c r="I25" s="28"/>
      <c r="J25" s="29">
        <f>J22+(J24*J23)</f>
        <v>9.1119490550018889E-2</v>
      </c>
    </row>
    <row r="26" spans="1:10" x14ac:dyDescent="0.35">
      <c r="A26" s="146"/>
    </row>
    <row r="27" spans="1:10" x14ac:dyDescent="0.35">
      <c r="A27" s="146"/>
      <c r="B27" s="155" t="s">
        <v>290</v>
      </c>
      <c r="C27" s="68"/>
      <c r="D27" s="68"/>
      <c r="E27" s="155"/>
      <c r="G27" s="155" t="s">
        <v>291</v>
      </c>
      <c r="H27" s="155"/>
      <c r="I27" s="68"/>
      <c r="J27" s="68"/>
    </row>
    <row r="28" spans="1:10" x14ac:dyDescent="0.35">
      <c r="A28" s="146"/>
      <c r="D28" s="159" t="s">
        <v>292</v>
      </c>
      <c r="E28" s="159" t="s">
        <v>293</v>
      </c>
    </row>
    <row r="29" spans="1:10" x14ac:dyDescent="0.35">
      <c r="A29" s="146"/>
      <c r="B29" s="8" t="s">
        <v>267</v>
      </c>
      <c r="C29" s="121">
        <f>D10</f>
        <v>1648</v>
      </c>
      <c r="D29" s="14">
        <f>C29/C31</f>
        <v>2.9396248678350547E-3</v>
      </c>
      <c r="E29" s="129">
        <f>H16</f>
        <v>1.3812578038617426E-2</v>
      </c>
      <c r="G29" s="8" t="s">
        <v>294</v>
      </c>
      <c r="J29" s="158">
        <f>J17</f>
        <v>0.69135323282287919</v>
      </c>
    </row>
    <row r="30" spans="1:10" x14ac:dyDescent="0.35">
      <c r="A30" s="146"/>
      <c r="B30" s="8" t="s">
        <v>9</v>
      </c>
      <c r="C30" s="121">
        <f>E10</f>
        <v>558967.75</v>
      </c>
      <c r="D30" s="14">
        <f>C30/C31</f>
        <v>0.99706037513216494</v>
      </c>
      <c r="E30" s="129">
        <f>E31-E29</f>
        <v>0.98618742196138254</v>
      </c>
      <c r="G30" s="8" t="s">
        <v>295</v>
      </c>
      <c r="J30" s="129">
        <f>E33</f>
        <v>1.4006037524942498E-2</v>
      </c>
    </row>
    <row r="31" spans="1:10" x14ac:dyDescent="0.35">
      <c r="A31" s="146"/>
      <c r="B31" s="28" t="s">
        <v>296</v>
      </c>
      <c r="C31" s="28">
        <f>C29+C30</f>
        <v>560615.75</v>
      </c>
      <c r="D31" s="29">
        <f>D29+D30</f>
        <v>1</v>
      </c>
      <c r="E31" s="29">
        <v>1</v>
      </c>
      <c r="G31" s="8" t="s">
        <v>173</v>
      </c>
      <c r="J31" s="129">
        <f>E23</f>
        <v>0.25</v>
      </c>
    </row>
    <row r="32" spans="1:10" x14ac:dyDescent="0.35">
      <c r="A32" s="146"/>
      <c r="G32" s="28" t="s">
        <v>291</v>
      </c>
      <c r="H32" s="28"/>
      <c r="I32" s="28"/>
      <c r="J32" s="160">
        <f>J29*(1+((1-J31)*J30))</f>
        <v>0.69861557231430982</v>
      </c>
    </row>
    <row r="33" spans="1:5" x14ac:dyDescent="0.35">
      <c r="A33" s="146"/>
      <c r="B33" s="8" t="s">
        <v>297</v>
      </c>
      <c r="D33" s="14">
        <f>D29/D30</f>
        <v>2.9482917395502696E-3</v>
      </c>
      <c r="E33" s="14">
        <f>E29/E30</f>
        <v>1.4006037524942498E-2</v>
      </c>
    </row>
    <row r="34" spans="1:5" x14ac:dyDescent="0.35">
      <c r="A34" s="146"/>
    </row>
    <row r="35" spans="1:5" x14ac:dyDescent="0.35">
      <c r="A35" s="146"/>
      <c r="B35" s="155" t="s">
        <v>290</v>
      </c>
      <c r="C35" s="68"/>
      <c r="D35" s="68"/>
      <c r="E35" s="155"/>
    </row>
    <row r="36" spans="1:5" x14ac:dyDescent="0.35">
      <c r="A36" s="146"/>
      <c r="D36" s="159" t="s">
        <v>298</v>
      </c>
      <c r="E36" s="159" t="s">
        <v>299</v>
      </c>
    </row>
    <row r="37" spans="1:5" x14ac:dyDescent="0.35">
      <c r="A37" s="146"/>
      <c r="B37" s="8" t="s">
        <v>300</v>
      </c>
      <c r="D37" s="129">
        <f>E24</f>
        <v>5.5650000000000005E-2</v>
      </c>
      <c r="E37" s="129">
        <f>E29</f>
        <v>1.3812578038617426E-2</v>
      </c>
    </row>
    <row r="38" spans="1:5" x14ac:dyDescent="0.35">
      <c r="A38" s="146"/>
      <c r="B38" s="8" t="s">
        <v>270</v>
      </c>
      <c r="D38" s="129">
        <f>J25</f>
        <v>9.1119490550018889E-2</v>
      </c>
      <c r="E38" s="129">
        <f>E30</f>
        <v>0.98618742196138254</v>
      </c>
    </row>
    <row r="39" spans="1:5" x14ac:dyDescent="0.35">
      <c r="A39" s="146"/>
      <c r="B39" s="161" t="s">
        <v>301</v>
      </c>
      <c r="C39" s="161"/>
      <c r="D39" s="161"/>
      <c r="E39" s="169">
        <f>(D37*E37)+(D38*E38)</f>
        <v>9.0629565443806751E-2</v>
      </c>
    </row>
    <row r="40" spans="1:5" x14ac:dyDescent="0.35">
      <c r="A40" s="146"/>
    </row>
    <row r="41" spans="1:5" x14ac:dyDescent="0.35">
      <c r="A41" s="146"/>
    </row>
    <row r="42" spans="1:5" x14ac:dyDescent="0.35">
      <c r="A42" s="146"/>
      <c r="B42" s="141" t="s">
        <v>302</v>
      </c>
    </row>
    <row r="43" spans="1:5" x14ac:dyDescent="0.35">
      <c r="A43" s="146"/>
      <c r="B43" s="162" t="s">
        <v>303</v>
      </c>
    </row>
    <row r="44" spans="1:5" x14ac:dyDescent="0.35">
      <c r="A44" s="146"/>
      <c r="B44" s="162" t="s">
        <v>304</v>
      </c>
    </row>
    <row r="45" spans="1:5" x14ac:dyDescent="0.35">
      <c r="A45" s="146"/>
      <c r="B45" s="162" t="s">
        <v>305</v>
      </c>
    </row>
    <row r="46" spans="1:5" x14ac:dyDescent="0.35">
      <c r="A46" s="146"/>
      <c r="B46" s="162" t="s">
        <v>306</v>
      </c>
    </row>
    <row r="47" spans="1:5" x14ac:dyDescent="0.35">
      <c r="A47" s="146"/>
      <c r="B47" s="162" t="s">
        <v>307</v>
      </c>
    </row>
    <row r="48" spans="1:5" x14ac:dyDescent="0.35">
      <c r="A48" s="146"/>
      <c r="B48" s="162" t="s">
        <v>308</v>
      </c>
    </row>
    <row r="49" spans="1:3" x14ac:dyDescent="0.35">
      <c r="A49" s="146"/>
      <c r="B49" s="162" t="s">
        <v>309</v>
      </c>
      <c r="C49" s="163" t="s">
        <v>310</v>
      </c>
    </row>
    <row r="50" spans="1:3" x14ac:dyDescent="0.35">
      <c r="A50" s="146"/>
    </row>
  </sheetData>
  <hyperlinks>
    <hyperlink ref="C49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0"/>
  <sheetViews>
    <sheetView workbookViewId="0">
      <selection activeCell="B6" sqref="B6"/>
    </sheetView>
  </sheetViews>
  <sheetFormatPr defaultRowHeight="14.5" x14ac:dyDescent="0.35"/>
  <cols>
    <col min="1" max="16384" width="8.7265625" style="110"/>
  </cols>
  <sheetData>
    <row r="10" spans="2:2" ht="46" x14ac:dyDescent="1">
      <c r="B10" s="134" t="s">
        <v>251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N106"/>
  <sheetViews>
    <sheetView workbookViewId="0">
      <pane xSplit="1" ySplit="3" topLeftCell="B58" activePane="bottomRight" state="frozen"/>
      <selection pane="topRight" activeCell="B1" sqref="B1"/>
      <selection pane="bottomLeft" activeCell="A4" sqref="A4"/>
      <selection pane="bottomRight" activeCell="C77" sqref="C77"/>
    </sheetView>
  </sheetViews>
  <sheetFormatPr defaultRowHeight="14.5" x14ac:dyDescent="0.35"/>
  <cols>
    <col min="1" max="1" width="1.90625" style="8" customWidth="1"/>
    <col min="2" max="2" width="31.7265625" style="8" customWidth="1"/>
    <col min="3" max="12" width="10.81640625" style="8" bestFit="1" customWidth="1"/>
    <col min="13" max="13" width="10.26953125" style="8" bestFit="1" customWidth="1"/>
    <col min="14" max="16384" width="8.7265625" style="8"/>
  </cols>
  <sheetData>
    <row r="2" spans="1:13" x14ac:dyDescent="0.35">
      <c r="B2" s="142" t="str">
        <f>"Historical Financial Statement - "&amp;'Data Sheet'!B1</f>
        <v>Historical Financial Statement - HINDUSTAN UNILEVER LTD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</row>
    <row r="3" spans="1:13" x14ac:dyDescent="0.35">
      <c r="B3" s="9" t="s">
        <v>54</v>
      </c>
      <c r="C3" s="10">
        <f>'Data Sheet'!B16</f>
        <v>42460</v>
      </c>
      <c r="D3" s="10">
        <f>'Data Sheet'!C16</f>
        <v>42825</v>
      </c>
      <c r="E3" s="10">
        <f>'Data Sheet'!D16</f>
        <v>43190</v>
      </c>
      <c r="F3" s="10">
        <f>'Data Sheet'!E16</f>
        <v>43555</v>
      </c>
      <c r="G3" s="10">
        <f>'Data Sheet'!F16</f>
        <v>43921</v>
      </c>
      <c r="H3" s="10">
        <f>'Data Sheet'!G16</f>
        <v>44286</v>
      </c>
      <c r="I3" s="10">
        <f>'Data Sheet'!H16</f>
        <v>44651</v>
      </c>
      <c r="J3" s="10">
        <f>'Data Sheet'!I16</f>
        <v>45016</v>
      </c>
      <c r="K3" s="10">
        <f>'Data Sheet'!J16</f>
        <v>45382</v>
      </c>
      <c r="L3" s="10">
        <f>'Data Sheet'!K16</f>
        <v>45747</v>
      </c>
      <c r="M3" s="10" t="s">
        <v>55</v>
      </c>
    </row>
    <row r="4" spans="1:13" x14ac:dyDescent="0.35">
      <c r="A4" s="17" t="s">
        <v>56</v>
      </c>
      <c r="B4" s="17" t="s">
        <v>57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</row>
    <row r="5" spans="1:13" x14ac:dyDescent="0.35">
      <c r="B5" s="8" t="s">
        <v>12</v>
      </c>
      <c r="C5" s="12">
        <f>IFERROR('Data Sheet'!B17,0)</f>
        <v>32186</v>
      </c>
      <c r="D5" s="12">
        <f>IFERROR('Data Sheet'!C17,0)</f>
        <v>33162</v>
      </c>
      <c r="E5" s="12">
        <f>IFERROR('Data Sheet'!D17,0)</f>
        <v>35545</v>
      </c>
      <c r="F5" s="12">
        <f>IFERROR('Data Sheet'!E17,0)</f>
        <v>39310</v>
      </c>
      <c r="G5" s="12">
        <f>IFERROR('Data Sheet'!F17,0)</f>
        <v>39783</v>
      </c>
      <c r="H5" s="12">
        <f>IFERROR('Data Sheet'!G17,0)</f>
        <v>47028</v>
      </c>
      <c r="I5" s="12">
        <f>IFERROR('Data Sheet'!H17,0)</f>
        <v>52446</v>
      </c>
      <c r="J5" s="12">
        <f>IFERROR('Data Sheet'!I17,0)</f>
        <v>60580</v>
      </c>
      <c r="K5" s="12">
        <f>IFERROR('Data Sheet'!J17,0)</f>
        <v>61896</v>
      </c>
      <c r="L5" s="12">
        <f>IFERROR('Data Sheet'!K17,0)</f>
        <v>63121</v>
      </c>
      <c r="M5" s="12">
        <f>IFERROR(SUM('Data Sheet'!H42:K42),0)</f>
        <v>63121</v>
      </c>
    </row>
    <row r="6" spans="1:13" x14ac:dyDescent="0.35">
      <c r="B6" s="16" t="s">
        <v>59</v>
      </c>
      <c r="C6" s="13" t="s">
        <v>58</v>
      </c>
      <c r="D6" s="15">
        <f>D5/C5-1</f>
        <v>3.03237432424035E-2</v>
      </c>
      <c r="E6" s="15">
        <f t="shared" ref="E6:M6" si="0">E5/D5-1</f>
        <v>7.1859357095470644E-2</v>
      </c>
      <c r="F6" s="15">
        <f t="shared" si="0"/>
        <v>0.1059220706147137</v>
      </c>
      <c r="G6" s="15">
        <f t="shared" si="0"/>
        <v>1.2032561689137689E-2</v>
      </c>
      <c r="H6" s="15">
        <f t="shared" si="0"/>
        <v>0.18211296282331646</v>
      </c>
      <c r="I6" s="15">
        <f t="shared" si="0"/>
        <v>0.11520796121459553</v>
      </c>
      <c r="J6" s="15">
        <f t="shared" si="0"/>
        <v>0.15509285741524614</v>
      </c>
      <c r="K6" s="15">
        <f t="shared" si="0"/>
        <v>2.1723341036645749E-2</v>
      </c>
      <c r="L6" s="15">
        <f t="shared" si="0"/>
        <v>1.9791262763344974E-2</v>
      </c>
      <c r="M6" s="15">
        <f t="shared" si="0"/>
        <v>0</v>
      </c>
    </row>
    <row r="7" spans="1:13" x14ac:dyDescent="0.35">
      <c r="B7" s="8" t="s">
        <v>60</v>
      </c>
      <c r="C7" s="12">
        <f>IFERROR(SUM('Data Sheet'!B18,'Data Sheet'!B20:B22)-1*'Data Sheet'!B19,0)</f>
        <v>18222</v>
      </c>
      <c r="D7" s="12">
        <f>IFERROR(SUM('Data Sheet'!C18,'Data Sheet'!C20:C22)-1*'Data Sheet'!C19,0)</f>
        <v>18675</v>
      </c>
      <c r="E7" s="12">
        <f>IFERROR(SUM('Data Sheet'!D18,'Data Sheet'!D20:D22)-1*'Data Sheet'!D19,0)</f>
        <v>19314</v>
      </c>
      <c r="F7" s="12">
        <f>IFERROR(SUM('Data Sheet'!E18,'Data Sheet'!E20:E22)-1*'Data Sheet'!E19,0)</f>
        <v>21081</v>
      </c>
      <c r="G7" s="12">
        <f>IFERROR(SUM('Data Sheet'!F18,'Data Sheet'!F20:F22)-1*'Data Sheet'!F19,0)</f>
        <v>20614</v>
      </c>
      <c r="H7" s="12">
        <f>IFERROR(SUM('Data Sheet'!G18,'Data Sheet'!G20:G22)-1*'Data Sheet'!G19,0)</f>
        <v>25301</v>
      </c>
      <c r="I7" s="12">
        <f>IFERROR(SUM('Data Sheet'!H18,'Data Sheet'!H20:H22)-1*'Data Sheet'!H19,0)</f>
        <v>29066</v>
      </c>
      <c r="J7" s="12">
        <f>IFERROR(SUM('Data Sheet'!I18,'Data Sheet'!I20:I22)-1*'Data Sheet'!I19,0)</f>
        <v>35381</v>
      </c>
      <c r="K7" s="12">
        <f>IFERROR(SUM('Data Sheet'!J18,'Data Sheet'!J20:J22)-1*'Data Sheet'!J19,0)</f>
        <v>33651</v>
      </c>
      <c r="L7" s="12">
        <f>IFERROR(SUM('Data Sheet'!K18,'Data Sheet'!K20:K22)-1*'Data Sheet'!K19,0)</f>
        <v>33655</v>
      </c>
      <c r="M7" s="12">
        <f>IFERROR(SUM('Data Sheet'!H43:K43),0)</f>
        <v>48279</v>
      </c>
    </row>
    <row r="8" spans="1:13" x14ac:dyDescent="0.35">
      <c r="B8" s="16" t="s">
        <v>61</v>
      </c>
      <c r="C8" s="15">
        <f>C7/C$5</f>
        <v>0.56614677188839868</v>
      </c>
      <c r="D8" s="15">
        <f t="shared" ref="D8:M8" si="1">D7/D$5</f>
        <v>0.5631445630540981</v>
      </c>
      <c r="E8" s="15">
        <f t="shared" si="1"/>
        <v>0.54336756224504146</v>
      </c>
      <c r="F8" s="15">
        <f t="shared" si="1"/>
        <v>0.53627575680488426</v>
      </c>
      <c r="G8" s="15">
        <f t="shared" si="1"/>
        <v>0.51816102355277383</v>
      </c>
      <c r="H8" s="15">
        <f t="shared" si="1"/>
        <v>0.53799863910861612</v>
      </c>
      <c r="I8" s="15">
        <f t="shared" si="1"/>
        <v>0.55420813789421497</v>
      </c>
      <c r="J8" s="15">
        <f t="shared" si="1"/>
        <v>0.58403763618355897</v>
      </c>
      <c r="K8" s="15">
        <f t="shared" si="1"/>
        <v>0.54367002714230317</v>
      </c>
      <c r="L8" s="15">
        <f t="shared" si="1"/>
        <v>0.53318230066063588</v>
      </c>
      <c r="M8" s="15">
        <f t="shared" si="1"/>
        <v>0.76486430823339302</v>
      </c>
    </row>
    <row r="10" spans="1:13" x14ac:dyDescent="0.35">
      <c r="B10" s="20" t="s">
        <v>62</v>
      </c>
      <c r="C10" s="21">
        <f>C5-C7</f>
        <v>13964</v>
      </c>
      <c r="D10" s="21">
        <f t="shared" ref="D10:M10" si="2">D5-D7</f>
        <v>14487</v>
      </c>
      <c r="E10" s="21">
        <f t="shared" si="2"/>
        <v>16231</v>
      </c>
      <c r="F10" s="21">
        <f t="shared" si="2"/>
        <v>18229</v>
      </c>
      <c r="G10" s="21">
        <f t="shared" si="2"/>
        <v>19169</v>
      </c>
      <c r="H10" s="21">
        <f t="shared" si="2"/>
        <v>21727</v>
      </c>
      <c r="I10" s="21">
        <f t="shared" si="2"/>
        <v>23380</v>
      </c>
      <c r="J10" s="21">
        <f t="shared" si="2"/>
        <v>25199</v>
      </c>
      <c r="K10" s="21">
        <f t="shared" si="2"/>
        <v>28245</v>
      </c>
      <c r="L10" s="21">
        <f t="shared" si="2"/>
        <v>29466</v>
      </c>
      <c r="M10" s="21">
        <f t="shared" si="2"/>
        <v>14842</v>
      </c>
    </row>
    <row r="11" spans="1:13" x14ac:dyDescent="0.35">
      <c r="B11" s="16" t="s">
        <v>126</v>
      </c>
      <c r="C11" s="15">
        <f>C10/C5</f>
        <v>0.43385322811160132</v>
      </c>
      <c r="D11" s="15">
        <f t="shared" ref="D11:M11" si="3">D10/D5</f>
        <v>0.43685543694590195</v>
      </c>
      <c r="E11" s="15">
        <f t="shared" si="3"/>
        <v>0.45663243775495849</v>
      </c>
      <c r="F11" s="15">
        <f t="shared" si="3"/>
        <v>0.46372424319511574</v>
      </c>
      <c r="G11" s="15">
        <f t="shared" si="3"/>
        <v>0.48183897644722617</v>
      </c>
      <c r="H11" s="15">
        <f t="shared" si="3"/>
        <v>0.46200136089138388</v>
      </c>
      <c r="I11" s="15">
        <f t="shared" si="3"/>
        <v>0.44579186210578498</v>
      </c>
      <c r="J11" s="15">
        <f t="shared" si="3"/>
        <v>0.41596236381644108</v>
      </c>
      <c r="K11" s="15">
        <f t="shared" si="3"/>
        <v>0.45632997285769678</v>
      </c>
      <c r="L11" s="15">
        <f t="shared" si="3"/>
        <v>0.46681769933936407</v>
      </c>
      <c r="M11" s="15">
        <f t="shared" si="3"/>
        <v>0.23513569176660698</v>
      </c>
    </row>
    <row r="12" spans="1:13" x14ac:dyDescent="0.35">
      <c r="B12" s="25"/>
    </row>
    <row r="13" spans="1:13" x14ac:dyDescent="0.35">
      <c r="B13" s="8" t="s">
        <v>63</v>
      </c>
      <c r="C13" s="12">
        <f>IFERROR(SUM('Data Sheet'!B23:B24),0)</f>
        <v>8054</v>
      </c>
      <c r="D13" s="12">
        <f>IFERROR(SUM('Data Sheet'!C23:C24),0)</f>
        <v>8159</v>
      </c>
      <c r="E13" s="12">
        <f>IFERROR(SUM('Data Sheet'!D23:D24),0)</f>
        <v>8732</v>
      </c>
      <c r="F13" s="12">
        <f>IFERROR(SUM('Data Sheet'!E23:E24),0)</f>
        <v>9349</v>
      </c>
      <c r="G13" s="12">
        <f>IFERROR(SUM('Data Sheet'!F23:F24),0)</f>
        <v>9308</v>
      </c>
      <c r="H13" s="12">
        <f>IFERROR(SUM('Data Sheet'!G23:G24),0)</f>
        <v>10101</v>
      </c>
      <c r="I13" s="12">
        <f>IFERROR(SUM('Data Sheet'!H23:H24),0)</f>
        <v>10523</v>
      </c>
      <c r="J13" s="12">
        <f>IFERROR(SUM('Data Sheet'!I23:I24),0)</f>
        <v>11052</v>
      </c>
      <c r="K13" s="12">
        <f>IFERROR(SUM('Data Sheet'!J23:J24),0)</f>
        <v>13586</v>
      </c>
      <c r="L13" s="12">
        <f>IFERROR(SUM('Data Sheet'!K23:K24),0)</f>
        <v>14623</v>
      </c>
      <c r="M13" s="12">
        <f>IFERROR(SUM('Data Sheet'!L23:L24),0)</f>
        <v>0</v>
      </c>
    </row>
    <row r="14" spans="1:13" x14ac:dyDescent="0.35">
      <c r="B14" s="16" t="s">
        <v>64</v>
      </c>
      <c r="C14" s="15">
        <f>C13/C$5</f>
        <v>0.25023302056794877</v>
      </c>
      <c r="D14" s="15">
        <f t="shared" ref="D14:M14" si="4">D13/D$5</f>
        <v>0.24603461793619202</v>
      </c>
      <c r="E14" s="15">
        <f t="shared" si="4"/>
        <v>0.24566043044028696</v>
      </c>
      <c r="F14" s="15">
        <f t="shared" si="4"/>
        <v>0.23782752480284916</v>
      </c>
      <c r="G14" s="15">
        <f t="shared" si="4"/>
        <v>0.23396928336224015</v>
      </c>
      <c r="H14" s="15">
        <f t="shared" si="4"/>
        <v>0.21478693544271499</v>
      </c>
      <c r="I14" s="15">
        <f t="shared" si="4"/>
        <v>0.20064447240971667</v>
      </c>
      <c r="J14" s="15">
        <f t="shared" si="4"/>
        <v>0.18243644767249917</v>
      </c>
      <c r="K14" s="15">
        <f t="shared" si="4"/>
        <v>0.21949722114514669</v>
      </c>
      <c r="L14" s="15">
        <f t="shared" si="4"/>
        <v>0.2316661649847119</v>
      </c>
      <c r="M14" s="15">
        <f t="shared" si="4"/>
        <v>0</v>
      </c>
    </row>
    <row r="16" spans="1:13" x14ac:dyDescent="0.35">
      <c r="B16" s="20" t="s">
        <v>65</v>
      </c>
      <c r="C16" s="21">
        <f>C10-C13</f>
        <v>5910</v>
      </c>
      <c r="D16" s="21">
        <f t="shared" ref="D16:M16" si="5">D10-D13</f>
        <v>6328</v>
      </c>
      <c r="E16" s="21">
        <f t="shared" si="5"/>
        <v>7499</v>
      </c>
      <c r="F16" s="21">
        <f t="shared" si="5"/>
        <v>8880</v>
      </c>
      <c r="G16" s="21">
        <f t="shared" si="5"/>
        <v>9861</v>
      </c>
      <c r="H16" s="21">
        <f t="shared" si="5"/>
        <v>11626</v>
      </c>
      <c r="I16" s="21">
        <f t="shared" si="5"/>
        <v>12857</v>
      </c>
      <c r="J16" s="21">
        <f t="shared" si="5"/>
        <v>14147</v>
      </c>
      <c r="K16" s="21">
        <f t="shared" si="5"/>
        <v>14659</v>
      </c>
      <c r="L16" s="21">
        <f t="shared" si="5"/>
        <v>14843</v>
      </c>
      <c r="M16" s="21">
        <f t="shared" si="5"/>
        <v>14842</v>
      </c>
    </row>
    <row r="17" spans="2:13" x14ac:dyDescent="0.35">
      <c r="B17" s="16" t="s">
        <v>66</v>
      </c>
      <c r="C17" s="15">
        <f>C16/C$5</f>
        <v>0.18362020754365252</v>
      </c>
      <c r="D17" s="15">
        <f t="shared" ref="D17:M17" si="6">D16/D$5</f>
        <v>0.1908208190097099</v>
      </c>
      <c r="E17" s="15">
        <f t="shared" si="6"/>
        <v>0.21097200731467156</v>
      </c>
      <c r="F17" s="15">
        <f t="shared" si="6"/>
        <v>0.2258967183922666</v>
      </c>
      <c r="G17" s="15">
        <f t="shared" si="6"/>
        <v>0.24786969308498605</v>
      </c>
      <c r="H17" s="15">
        <f t="shared" si="6"/>
        <v>0.24721442544866887</v>
      </c>
      <c r="I17" s="15">
        <f t="shared" si="6"/>
        <v>0.24514738969606834</v>
      </c>
      <c r="J17" s="15">
        <f t="shared" si="6"/>
        <v>0.23352591614394189</v>
      </c>
      <c r="K17" s="15">
        <f t="shared" si="6"/>
        <v>0.23683275171255008</v>
      </c>
      <c r="L17" s="15">
        <f t="shared" si="6"/>
        <v>0.23515153435465216</v>
      </c>
      <c r="M17" s="15">
        <f t="shared" si="6"/>
        <v>0.23513569176660698</v>
      </c>
    </row>
    <row r="19" spans="2:13" x14ac:dyDescent="0.35">
      <c r="B19" s="8" t="s">
        <v>67</v>
      </c>
      <c r="C19" s="12">
        <f>IFERROR('Data Sheet'!B27,0)</f>
        <v>17</v>
      </c>
      <c r="D19" s="12">
        <f>IFERROR('Data Sheet'!C27,0)</f>
        <v>35</v>
      </c>
      <c r="E19" s="12">
        <f>IFERROR('Data Sheet'!D27,0)</f>
        <v>26</v>
      </c>
      <c r="F19" s="12">
        <f>IFERROR('Data Sheet'!E27,0)</f>
        <v>33</v>
      </c>
      <c r="G19" s="12">
        <f>IFERROR('Data Sheet'!F27,0)</f>
        <v>118</v>
      </c>
      <c r="H19" s="12">
        <f>IFERROR('Data Sheet'!G27,0)</f>
        <v>117</v>
      </c>
      <c r="I19" s="12">
        <f>IFERROR('Data Sheet'!H27,0)</f>
        <v>106</v>
      </c>
      <c r="J19" s="12">
        <f>IFERROR('Data Sheet'!I27,0)</f>
        <v>114</v>
      </c>
      <c r="K19" s="12">
        <f>IFERROR('Data Sheet'!J27,0)</f>
        <v>334</v>
      </c>
      <c r="L19" s="12">
        <f>IFERROR('Data Sheet'!K27,0)</f>
        <v>395</v>
      </c>
      <c r="M19" s="12">
        <f>IFERROR(SUM('Data Sheet'!H46:K46),0)</f>
        <v>395</v>
      </c>
    </row>
    <row r="20" spans="2:13" x14ac:dyDescent="0.35">
      <c r="B20" s="16" t="s">
        <v>68</v>
      </c>
      <c r="C20" s="15">
        <f>C19/C$5</f>
        <v>5.2817995401727462E-4</v>
      </c>
      <c r="D20" s="15">
        <f t="shared" ref="D20:M20" si="7">D19/D$5</f>
        <v>1.0554248839032628E-3</v>
      </c>
      <c r="E20" s="15">
        <f t="shared" si="7"/>
        <v>7.3146715431143621E-4</v>
      </c>
      <c r="F20" s="15">
        <f t="shared" si="7"/>
        <v>8.3948104807936915E-4</v>
      </c>
      <c r="G20" s="15">
        <f t="shared" si="7"/>
        <v>2.9660910439132291E-3</v>
      </c>
      <c r="H20" s="15">
        <f t="shared" si="7"/>
        <v>2.4878795611125285E-3</v>
      </c>
      <c r="I20" s="15">
        <f t="shared" si="7"/>
        <v>2.0211264920108303E-3</v>
      </c>
      <c r="J20" s="15">
        <f t="shared" si="7"/>
        <v>1.881809177946517E-3</v>
      </c>
      <c r="K20" s="15">
        <f t="shared" si="7"/>
        <v>5.3961483779242604E-3</v>
      </c>
      <c r="L20" s="15">
        <f t="shared" si="7"/>
        <v>6.2578222778473091E-3</v>
      </c>
      <c r="M20" s="15">
        <f t="shared" si="7"/>
        <v>6.2578222778473091E-3</v>
      </c>
    </row>
    <row r="22" spans="2:13" x14ac:dyDescent="0.35">
      <c r="B22" s="8" t="s">
        <v>21</v>
      </c>
      <c r="C22" s="12">
        <f>IFERROR('Data Sheet'!B26,0)</f>
        <v>353</v>
      </c>
      <c r="D22" s="12">
        <f>IFERROR('Data Sheet'!C26,0)</f>
        <v>432</v>
      </c>
      <c r="E22" s="12">
        <f>IFERROR('Data Sheet'!D26,0)</f>
        <v>520</v>
      </c>
      <c r="F22" s="12">
        <f>IFERROR('Data Sheet'!E26,0)</f>
        <v>565</v>
      </c>
      <c r="G22" s="12">
        <f>IFERROR('Data Sheet'!F26,0)</f>
        <v>1002</v>
      </c>
      <c r="H22" s="12">
        <f>IFERROR('Data Sheet'!G26,0)</f>
        <v>1074</v>
      </c>
      <c r="I22" s="12">
        <f>IFERROR('Data Sheet'!H26,0)</f>
        <v>1091</v>
      </c>
      <c r="J22" s="12">
        <f>IFERROR('Data Sheet'!I26,0)</f>
        <v>1137</v>
      </c>
      <c r="K22" s="12">
        <f>IFERROR('Data Sheet'!J26,0)</f>
        <v>1216</v>
      </c>
      <c r="L22" s="12">
        <f>IFERROR('Data Sheet'!K26,0)</f>
        <v>1355</v>
      </c>
      <c r="M22" s="12">
        <f>IFERROR(SUM('Data Sheet'!H45:K45),0)</f>
        <v>1355</v>
      </c>
    </row>
    <row r="23" spans="2:13" x14ac:dyDescent="0.35">
      <c r="B23" s="16" t="s">
        <v>69</v>
      </c>
      <c r="C23" s="15">
        <f>C22/C$5</f>
        <v>1.0967501398123409E-2</v>
      </c>
      <c r="D23" s="15">
        <f t="shared" ref="D23:M23" si="8">D22/D$5</f>
        <v>1.3026958567034558E-2</v>
      </c>
      <c r="E23" s="15">
        <f t="shared" si="8"/>
        <v>1.4629343086228723E-2</v>
      </c>
      <c r="F23" s="15">
        <f t="shared" si="8"/>
        <v>1.437293309590435E-2</v>
      </c>
      <c r="G23" s="15">
        <f t="shared" si="8"/>
        <v>2.5186637508483524E-2</v>
      </c>
      <c r="H23" s="15">
        <f t="shared" si="8"/>
        <v>2.2837458535340648E-2</v>
      </c>
      <c r="I23" s="15">
        <f t="shared" si="8"/>
        <v>2.0802349082866187E-2</v>
      </c>
      <c r="J23" s="15">
        <f t="shared" si="8"/>
        <v>1.8768570485308684E-2</v>
      </c>
      <c r="K23" s="15">
        <f t="shared" si="8"/>
        <v>1.9645857567532635E-2</v>
      </c>
      <c r="L23" s="15">
        <f t="shared" si="8"/>
        <v>2.1466706801223048E-2</v>
      </c>
      <c r="M23" s="15">
        <f t="shared" si="8"/>
        <v>2.1466706801223048E-2</v>
      </c>
    </row>
    <row r="25" spans="2:13" x14ac:dyDescent="0.35">
      <c r="B25" s="20" t="s">
        <v>70</v>
      </c>
      <c r="C25" s="21">
        <f>C16-C19-C22</f>
        <v>5540</v>
      </c>
      <c r="D25" s="21">
        <f t="shared" ref="D25:M25" si="9">D16-D19-D22</f>
        <v>5861</v>
      </c>
      <c r="E25" s="21">
        <f t="shared" si="9"/>
        <v>6953</v>
      </c>
      <c r="F25" s="21">
        <f t="shared" si="9"/>
        <v>8282</v>
      </c>
      <c r="G25" s="21">
        <f t="shared" si="9"/>
        <v>8741</v>
      </c>
      <c r="H25" s="21">
        <f t="shared" si="9"/>
        <v>10435</v>
      </c>
      <c r="I25" s="21">
        <f t="shared" si="9"/>
        <v>11660</v>
      </c>
      <c r="J25" s="21">
        <f t="shared" si="9"/>
        <v>12896</v>
      </c>
      <c r="K25" s="21">
        <f t="shared" si="9"/>
        <v>13109</v>
      </c>
      <c r="L25" s="21">
        <f t="shared" si="9"/>
        <v>13093</v>
      </c>
      <c r="M25" s="21">
        <f t="shared" si="9"/>
        <v>13092</v>
      </c>
    </row>
    <row r="26" spans="2:13" x14ac:dyDescent="0.35">
      <c r="B26" s="16" t="s">
        <v>71</v>
      </c>
      <c r="C26" s="15">
        <f>C25/C$5</f>
        <v>0.17212452619151183</v>
      </c>
      <c r="D26" s="15">
        <f t="shared" ref="D26:M26" si="10">D25/D$5</f>
        <v>0.17673843555877208</v>
      </c>
      <c r="E26" s="15">
        <f t="shared" si="10"/>
        <v>0.19561119707413138</v>
      </c>
      <c r="F26" s="15">
        <f t="shared" si="10"/>
        <v>0.21068430424828288</v>
      </c>
      <c r="G26" s="15">
        <f t="shared" si="10"/>
        <v>0.21971696453258929</v>
      </c>
      <c r="H26" s="15">
        <f t="shared" si="10"/>
        <v>0.22188908735221571</v>
      </c>
      <c r="I26" s="15">
        <f t="shared" si="10"/>
        <v>0.22232391412119132</v>
      </c>
      <c r="J26" s="15">
        <f t="shared" si="10"/>
        <v>0.21287553648068669</v>
      </c>
      <c r="K26" s="15">
        <f t="shared" si="10"/>
        <v>0.2117907457670932</v>
      </c>
      <c r="L26" s="15">
        <f t="shared" si="10"/>
        <v>0.20742700527558183</v>
      </c>
      <c r="M26" s="15">
        <f t="shared" si="10"/>
        <v>0.20741116268753665</v>
      </c>
    </row>
    <row r="28" spans="2:13" x14ac:dyDescent="0.35">
      <c r="B28" s="8" t="s">
        <v>72</v>
      </c>
      <c r="C28" s="12">
        <f>IFERROR('Data Sheet'!B29,0)</f>
        <v>1875</v>
      </c>
      <c r="D28" s="12">
        <f>IFERROR('Data Sheet'!C29,0)</f>
        <v>1977</v>
      </c>
      <c r="E28" s="12">
        <f>IFERROR('Data Sheet'!D29,0)</f>
        <v>2079</v>
      </c>
      <c r="F28" s="12">
        <f>IFERROR('Data Sheet'!E29,0)</f>
        <v>2544</v>
      </c>
      <c r="G28" s="12">
        <f>IFERROR('Data Sheet'!F29,0)</f>
        <v>2409</v>
      </c>
      <c r="H28" s="12">
        <f>IFERROR('Data Sheet'!G29,0)</f>
        <v>2606</v>
      </c>
      <c r="I28" s="12">
        <f>IFERROR('Data Sheet'!H29,0)</f>
        <v>2987</v>
      </c>
      <c r="J28" s="12">
        <f>IFERROR('Data Sheet'!I29,0)</f>
        <v>3201</v>
      </c>
      <c r="K28" s="12">
        <f>IFERROR('Data Sheet'!J29,0)</f>
        <v>3644</v>
      </c>
      <c r="L28" s="12">
        <f>IFERROR('Data Sheet'!K29,0)</f>
        <v>3744</v>
      </c>
      <c r="M28" s="12">
        <f>IFERROR(SUM('Data Sheet'!H48:K48),0)</f>
        <v>3744</v>
      </c>
    </row>
    <row r="29" spans="2:13" x14ac:dyDescent="0.35">
      <c r="B29" s="16" t="s">
        <v>73</v>
      </c>
      <c r="C29" s="15">
        <f>C28/C25</f>
        <v>0.33844765342960287</v>
      </c>
      <c r="D29" s="15">
        <f t="shared" ref="D29:M29" si="11">D28/D25</f>
        <v>0.33731445145879541</v>
      </c>
      <c r="E29" s="15">
        <f t="shared" si="11"/>
        <v>0.29900762260894576</v>
      </c>
      <c r="F29" s="15">
        <f t="shared" si="11"/>
        <v>0.30717218063269741</v>
      </c>
      <c r="G29" s="15">
        <f t="shared" si="11"/>
        <v>0.27559775769362771</v>
      </c>
      <c r="H29" s="15">
        <f t="shared" si="11"/>
        <v>0.24973646382367035</v>
      </c>
      <c r="I29" s="15">
        <f t="shared" si="11"/>
        <v>0.25617495711835336</v>
      </c>
      <c r="J29" s="15">
        <f t="shared" si="11"/>
        <v>0.24821650124069478</v>
      </c>
      <c r="K29" s="15">
        <f t="shared" si="11"/>
        <v>0.27797696239224962</v>
      </c>
      <c r="L29" s="15">
        <f t="shared" si="11"/>
        <v>0.28595432673947913</v>
      </c>
      <c r="M29" s="15">
        <f t="shared" si="11"/>
        <v>0.28597616865261227</v>
      </c>
    </row>
    <row r="31" spans="2:13" ht="15" thickBot="1" x14ac:dyDescent="0.4">
      <c r="B31" s="23" t="s">
        <v>74</v>
      </c>
      <c r="C31" s="24">
        <f>C25-C28</f>
        <v>3665</v>
      </c>
      <c r="D31" s="24">
        <f t="shared" ref="D31:M31" si="12">D25-D28</f>
        <v>3884</v>
      </c>
      <c r="E31" s="24">
        <f t="shared" si="12"/>
        <v>4874</v>
      </c>
      <c r="F31" s="24">
        <f t="shared" si="12"/>
        <v>5738</v>
      </c>
      <c r="G31" s="24">
        <f t="shared" si="12"/>
        <v>6332</v>
      </c>
      <c r="H31" s="24">
        <f t="shared" si="12"/>
        <v>7829</v>
      </c>
      <c r="I31" s="24">
        <f t="shared" si="12"/>
        <v>8673</v>
      </c>
      <c r="J31" s="24">
        <f t="shared" si="12"/>
        <v>9695</v>
      </c>
      <c r="K31" s="24">
        <f t="shared" si="12"/>
        <v>9465</v>
      </c>
      <c r="L31" s="24">
        <f t="shared" si="12"/>
        <v>9349</v>
      </c>
      <c r="M31" s="24">
        <f t="shared" si="12"/>
        <v>9348</v>
      </c>
    </row>
    <row r="32" spans="2:13" x14ac:dyDescent="0.35">
      <c r="B32" s="16" t="s">
        <v>75</v>
      </c>
      <c r="C32" s="15">
        <f>C31/C$5</f>
        <v>0.11386938420431243</v>
      </c>
      <c r="D32" s="15">
        <f t="shared" ref="D32:M32" si="13">D31/D$5</f>
        <v>0.11712200711657922</v>
      </c>
      <c r="E32" s="15">
        <f t="shared" si="13"/>
        <v>0.1371219580813054</v>
      </c>
      <c r="F32" s="15">
        <f t="shared" si="13"/>
        <v>0.14596794708725516</v>
      </c>
      <c r="G32" s="15">
        <f t="shared" si="13"/>
        <v>0.15916346178015736</v>
      </c>
      <c r="H32" s="15">
        <f t="shared" si="13"/>
        <v>0.16647529131581185</v>
      </c>
      <c r="I32" s="15">
        <f t="shared" si="13"/>
        <v>0.16537009495481067</v>
      </c>
      <c r="J32" s="15">
        <f t="shared" si="13"/>
        <v>0.16003631561571477</v>
      </c>
      <c r="K32" s="15">
        <f t="shared" si="13"/>
        <v>0.15291779759596744</v>
      </c>
      <c r="L32" s="15">
        <f t="shared" si="13"/>
        <v>0.14811235563441644</v>
      </c>
      <c r="M32" s="15">
        <f t="shared" si="13"/>
        <v>0.14809651304637125</v>
      </c>
    </row>
    <row r="34" spans="1:13" x14ac:dyDescent="0.35">
      <c r="B34" s="8" t="s">
        <v>76</v>
      </c>
      <c r="C34" s="8">
        <f>IFERROR('Data Sheet'!B93,0)</f>
        <v>216.39</v>
      </c>
      <c r="D34" s="8">
        <f>IFERROR('Data Sheet'!C93,0)</f>
        <v>216.43</v>
      </c>
      <c r="E34" s="8">
        <f>IFERROR('Data Sheet'!D93,0)</f>
        <v>216.45</v>
      </c>
      <c r="F34" s="8">
        <f>IFERROR('Data Sheet'!E93,0)</f>
        <v>216.47</v>
      </c>
      <c r="G34" s="8">
        <f>IFERROR('Data Sheet'!F93,0)</f>
        <v>216.48</v>
      </c>
      <c r="H34" s="8">
        <f>IFERROR('Data Sheet'!G93,0)</f>
        <v>234.96</v>
      </c>
      <c r="I34" s="8">
        <f>IFERROR('Data Sheet'!H93,0)</f>
        <v>234.96</v>
      </c>
      <c r="J34" s="8">
        <f>IFERROR('Data Sheet'!I93,0)</f>
        <v>234.96</v>
      </c>
      <c r="K34" s="8">
        <f>IFERROR('Data Sheet'!J93,0)</f>
        <v>234.96</v>
      </c>
      <c r="L34" s="8">
        <f>IFERROR('Data Sheet'!K93,0)</f>
        <v>234.96</v>
      </c>
      <c r="M34" s="12">
        <f>IFERROR('Data Sheet'!L93,0)</f>
        <v>0</v>
      </c>
    </row>
    <row r="36" spans="1:13" x14ac:dyDescent="0.35">
      <c r="B36" s="8" t="s">
        <v>77</v>
      </c>
      <c r="C36" s="12">
        <f>C31/C34</f>
        <v>16.937011876704101</v>
      </c>
      <c r="D36" s="12">
        <f t="shared" ref="D36:L36" si="14">D31/D34</f>
        <v>17.945756133622879</v>
      </c>
      <c r="E36" s="12">
        <f t="shared" si="14"/>
        <v>22.51790251790252</v>
      </c>
      <c r="F36" s="12">
        <f t="shared" si="14"/>
        <v>26.507137247655564</v>
      </c>
      <c r="G36" s="12">
        <f t="shared" si="14"/>
        <v>29.249815225424982</v>
      </c>
      <c r="H36" s="12">
        <f t="shared" si="14"/>
        <v>33.320565202587673</v>
      </c>
      <c r="I36" s="12">
        <f t="shared" si="14"/>
        <v>36.912665985699689</v>
      </c>
      <c r="J36" s="12">
        <f t="shared" si="14"/>
        <v>41.262342526387471</v>
      </c>
      <c r="K36" s="12">
        <f t="shared" si="14"/>
        <v>40.283452502553622</v>
      </c>
      <c r="L36" s="12">
        <f t="shared" si="14"/>
        <v>39.789751447054819</v>
      </c>
      <c r="M36" s="12">
        <v>0</v>
      </c>
    </row>
    <row r="37" spans="1:13" x14ac:dyDescent="0.35">
      <c r="B37" s="16" t="s">
        <v>79</v>
      </c>
      <c r="C37" s="12"/>
      <c r="D37" s="15">
        <f>IFERROR(D36/C36-1,0)</f>
        <v>5.9558572920778818E-2</v>
      </c>
      <c r="E37" s="15">
        <f t="shared" ref="E37:M37" si="15">IFERROR(E36/D36-1,0)</f>
        <v>0.25477591193348159</v>
      </c>
      <c r="F37" s="15">
        <f t="shared" si="15"/>
        <v>0.17715836217789205</v>
      </c>
      <c r="G37" s="15">
        <f t="shared" si="15"/>
        <v>0.10346941475213423</v>
      </c>
      <c r="H37" s="15">
        <f t="shared" si="15"/>
        <v>0.1391718185496178</v>
      </c>
      <c r="I37" s="15">
        <f t="shared" si="15"/>
        <v>0.10780431728190054</v>
      </c>
      <c r="J37" s="15">
        <f t="shared" si="15"/>
        <v>0.11783696529459253</v>
      </c>
      <c r="K37" s="15">
        <f t="shared" si="15"/>
        <v>-2.3723568849922771E-2</v>
      </c>
      <c r="L37" s="15">
        <f t="shared" si="15"/>
        <v>-1.2255678816692983E-2</v>
      </c>
      <c r="M37" s="15">
        <f t="shared" si="15"/>
        <v>-1</v>
      </c>
    </row>
    <row r="39" spans="1:13" x14ac:dyDescent="0.35">
      <c r="B39" s="8" t="s">
        <v>78</v>
      </c>
      <c r="C39" s="12">
        <f>IFERROR('Data Sheet'!B31/HistoricalFS!C34,0)</f>
        <v>15.971163177596008</v>
      </c>
      <c r="D39" s="12">
        <f>IFERROR('Data Sheet'!C31/HistoricalFS!D34,0)</f>
        <v>16.966224645381878</v>
      </c>
      <c r="E39" s="12">
        <f>IFERROR('Data Sheet'!D31/HistoricalFS!E34,0)</f>
        <v>19.95841995841996</v>
      </c>
      <c r="F39" s="12">
        <f>IFERROR('Data Sheet'!E31/HistoricalFS!F34,0)</f>
        <v>21.95223356585208</v>
      </c>
      <c r="G39" s="12">
        <f>IFERROR('Data Sheet'!F31/HistoricalFS!G34,0)</f>
        <v>24.944567627494457</v>
      </c>
      <c r="H39" s="12">
        <f>IFERROR('Data Sheet'!G31/HistoricalFS!H34,0)</f>
        <v>40.506894790602651</v>
      </c>
      <c r="I39" s="12">
        <f>IFERROR('Data Sheet'!H31/HistoricalFS!I34,0)</f>
        <v>34.005788219271366</v>
      </c>
      <c r="J39" s="12">
        <f>IFERROR('Data Sheet'!I31/HistoricalFS!J34,0)</f>
        <v>39.006639427987743</v>
      </c>
      <c r="K39" s="12">
        <f>IFERROR('Data Sheet'!J31/HistoricalFS!K34,0)</f>
        <v>42.007150153217566</v>
      </c>
      <c r="L39" s="12">
        <f>IFERROR('Data Sheet'!K31/HistoricalFS!L34,0)</f>
        <v>53.009022812393596</v>
      </c>
      <c r="M39" s="12">
        <f>IFERROR('Data Sheet'!L31/HistoricalFS!M34,0)</f>
        <v>0</v>
      </c>
    </row>
    <row r="40" spans="1:13" x14ac:dyDescent="0.35">
      <c r="B40" s="16" t="s">
        <v>80</v>
      </c>
      <c r="C40" s="15">
        <f>IFERROR(C39/C36,0)</f>
        <v>0.94297407912687581</v>
      </c>
      <c r="D40" s="15">
        <f t="shared" ref="D40:M40" si="16">IFERROR(D39/D36,0)</f>
        <v>0.94541709577754895</v>
      </c>
      <c r="E40" s="15">
        <f t="shared" si="16"/>
        <v>0.88633565859663521</v>
      </c>
      <c r="F40" s="15">
        <f t="shared" si="16"/>
        <v>0.82816312303938655</v>
      </c>
      <c r="G40" s="15">
        <f t="shared" si="16"/>
        <v>0.85281111813013266</v>
      </c>
      <c r="H40" s="15">
        <f t="shared" si="16"/>
        <v>1.2156724996806743</v>
      </c>
      <c r="I40" s="15">
        <f t="shared" si="16"/>
        <v>0.92124985587455333</v>
      </c>
      <c r="J40" s="15">
        <f t="shared" si="16"/>
        <v>0.94533264569365649</v>
      </c>
      <c r="K40" s="15">
        <f t="shared" si="16"/>
        <v>1.0427892234548337</v>
      </c>
      <c r="L40" s="15">
        <f t="shared" si="16"/>
        <v>1.3322280457802973</v>
      </c>
      <c r="M40" s="15">
        <f t="shared" si="16"/>
        <v>0</v>
      </c>
    </row>
    <row r="42" spans="1:13" x14ac:dyDescent="0.35">
      <c r="B42" s="8" t="s">
        <v>81</v>
      </c>
      <c r="C42" s="15">
        <f>IFERROR(IF(C36&gt;C39,1-C40,0),0)</f>
        <v>5.7025920873124192E-2</v>
      </c>
      <c r="D42" s="15">
        <f t="shared" ref="D42:M42" si="17">IFERROR(IF(D36&gt;D39,1-D40,0),0)</f>
        <v>5.4582904222451045E-2</v>
      </c>
      <c r="E42" s="15">
        <f t="shared" si="17"/>
        <v>0.11366434140336479</v>
      </c>
      <c r="F42" s="15">
        <f t="shared" si="17"/>
        <v>0.17183687696061345</v>
      </c>
      <c r="G42" s="15">
        <f t="shared" si="17"/>
        <v>0.14718888186986734</v>
      </c>
      <c r="H42" s="15">
        <f t="shared" si="17"/>
        <v>0</v>
      </c>
      <c r="I42" s="15">
        <f t="shared" si="17"/>
        <v>7.8750144125446675E-2</v>
      </c>
      <c r="J42" s="15">
        <f t="shared" si="17"/>
        <v>5.4667354306343507E-2</v>
      </c>
      <c r="K42" s="15">
        <f t="shared" si="17"/>
        <v>0</v>
      </c>
      <c r="L42" s="15">
        <f t="shared" si="17"/>
        <v>0</v>
      </c>
      <c r="M42" s="15">
        <f t="shared" si="17"/>
        <v>0</v>
      </c>
    </row>
    <row r="45" spans="1:13" x14ac:dyDescent="0.35">
      <c r="A45" s="17" t="s">
        <v>56</v>
      </c>
      <c r="B45" s="17" t="s">
        <v>82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</row>
    <row r="46" spans="1:13" x14ac:dyDescent="0.35">
      <c r="B46" s="8" t="s">
        <v>31</v>
      </c>
      <c r="C46" s="12">
        <f>IFERROR('Data Sheet'!B57,0)</f>
        <v>216</v>
      </c>
      <c r="D46" s="12">
        <f>IFERROR('Data Sheet'!C57,0)</f>
        <v>216</v>
      </c>
      <c r="E46" s="12">
        <f>IFERROR('Data Sheet'!D57,0)</f>
        <v>216</v>
      </c>
      <c r="F46" s="12">
        <f>IFERROR('Data Sheet'!E57,0)</f>
        <v>216</v>
      </c>
      <c r="G46" s="12">
        <f>IFERROR('Data Sheet'!F57,0)</f>
        <v>216</v>
      </c>
      <c r="H46" s="12">
        <f>IFERROR('Data Sheet'!G57,0)</f>
        <v>235</v>
      </c>
      <c r="I46" s="12">
        <f>IFERROR('Data Sheet'!H57,0)</f>
        <v>235</v>
      </c>
      <c r="J46" s="12">
        <f>IFERROR('Data Sheet'!I57,0)</f>
        <v>235</v>
      </c>
      <c r="K46" s="12">
        <f>IFERROR('Data Sheet'!J57,0)</f>
        <v>235</v>
      </c>
      <c r="L46" s="12">
        <f>IFERROR('Data Sheet'!K57,0)</f>
        <v>235</v>
      </c>
      <c r="M46" s="12">
        <f>IFERROR('Data Sheet'!L57,0)</f>
        <v>0</v>
      </c>
    </row>
    <row r="47" spans="1:13" x14ac:dyDescent="0.35">
      <c r="B47" s="8" t="s">
        <v>32</v>
      </c>
      <c r="C47" s="12">
        <f>IFERROR('Data Sheet'!B58,0)</f>
        <v>6357</v>
      </c>
      <c r="D47" s="12">
        <f>IFERROR('Data Sheet'!C58,0)</f>
        <v>6528</v>
      </c>
      <c r="E47" s="12">
        <f>IFERROR('Data Sheet'!D58,0)</f>
        <v>7065</v>
      </c>
      <c r="F47" s="12">
        <f>IFERROR('Data Sheet'!E58,0)</f>
        <v>7651</v>
      </c>
      <c r="G47" s="12">
        <f>IFERROR('Data Sheet'!F58,0)</f>
        <v>8013</v>
      </c>
      <c r="H47" s="12">
        <f>IFERROR('Data Sheet'!G58,0)</f>
        <v>47439</v>
      </c>
      <c r="I47" s="12">
        <f>IFERROR('Data Sheet'!H58,0)</f>
        <v>48826</v>
      </c>
      <c r="J47" s="12">
        <f>IFERROR('Data Sheet'!I58,0)</f>
        <v>50069</v>
      </c>
      <c r="K47" s="12">
        <f>IFERROR('Data Sheet'!J58,0)</f>
        <v>50983</v>
      </c>
      <c r="L47" s="12">
        <f>IFERROR('Data Sheet'!K58,0)</f>
        <v>49167</v>
      </c>
      <c r="M47" s="12">
        <f>IFERROR('Data Sheet'!L58,0)</f>
        <v>0</v>
      </c>
    </row>
    <row r="48" spans="1:13" x14ac:dyDescent="0.35">
      <c r="B48" s="8" t="s">
        <v>33</v>
      </c>
      <c r="C48" s="12">
        <f>IFERROR('Data Sheet'!B59,0)</f>
        <v>177</v>
      </c>
      <c r="D48" s="12">
        <f>IFERROR('Data Sheet'!C59,0)</f>
        <v>277</v>
      </c>
      <c r="E48" s="12">
        <f>IFERROR('Data Sheet'!D59,0)</f>
        <v>0</v>
      </c>
      <c r="F48" s="12">
        <f>IFERROR('Data Sheet'!E59,0)</f>
        <v>99</v>
      </c>
      <c r="G48" s="12">
        <f>IFERROR('Data Sheet'!F59,0)</f>
        <v>0</v>
      </c>
      <c r="H48" s="12">
        <f>IFERROR('Data Sheet'!G59,0)</f>
        <v>0</v>
      </c>
      <c r="I48" s="12">
        <f>IFERROR('Data Sheet'!H59,0)</f>
        <v>1043</v>
      </c>
      <c r="J48" s="12">
        <f>IFERROR('Data Sheet'!I59,0)</f>
        <v>1219</v>
      </c>
      <c r="K48" s="12">
        <f>IFERROR('Data Sheet'!J59,0)</f>
        <v>1484</v>
      </c>
      <c r="L48" s="12">
        <f>IFERROR('Data Sheet'!K59,0)</f>
        <v>1648</v>
      </c>
      <c r="M48" s="12">
        <f>IFERROR('Data Sheet'!L59,0)</f>
        <v>0</v>
      </c>
    </row>
    <row r="49" spans="2:14" x14ac:dyDescent="0.35">
      <c r="B49" s="8" t="s">
        <v>34</v>
      </c>
      <c r="C49" s="12">
        <f>IFERROR('Data Sheet'!B60,0)</f>
        <v>8043</v>
      </c>
      <c r="D49" s="12">
        <f>IFERROR('Data Sheet'!C60,0)</f>
        <v>8685</v>
      </c>
      <c r="E49" s="12">
        <f>IFERROR('Data Sheet'!D60,0)</f>
        <v>10581</v>
      </c>
      <c r="F49" s="12">
        <f>IFERROR('Data Sheet'!E60,0)</f>
        <v>10663</v>
      </c>
      <c r="G49" s="12">
        <f>IFERROR('Data Sheet'!F60,0)</f>
        <v>11924</v>
      </c>
      <c r="H49" s="12">
        <f>IFERROR('Data Sheet'!G60,0)</f>
        <v>21066</v>
      </c>
      <c r="I49" s="12">
        <f>IFERROR('Data Sheet'!H60,0)</f>
        <v>20402</v>
      </c>
      <c r="J49" s="12">
        <f>IFERROR('Data Sheet'!I60,0)</f>
        <v>21554</v>
      </c>
      <c r="K49" s="12">
        <f>IFERROR('Data Sheet'!J60,0)</f>
        <v>25787</v>
      </c>
      <c r="L49" s="12">
        <f>IFERROR('Data Sheet'!K60,0)</f>
        <v>28830</v>
      </c>
      <c r="M49" s="12">
        <f>IFERROR('Data Sheet'!L60,0)</f>
        <v>0</v>
      </c>
    </row>
    <row r="50" spans="2:14" ht="15" thickBot="1" x14ac:dyDescent="0.4">
      <c r="B50" s="23" t="s">
        <v>84</v>
      </c>
      <c r="C50" s="24">
        <f>IFERROR('Data Sheet'!B61,0)</f>
        <v>14793</v>
      </c>
      <c r="D50" s="24">
        <f>IFERROR('Data Sheet'!C61,0)</f>
        <v>15706</v>
      </c>
      <c r="E50" s="24">
        <f>IFERROR('Data Sheet'!D61,0)</f>
        <v>17862</v>
      </c>
      <c r="F50" s="24">
        <f>IFERROR('Data Sheet'!E61,0)</f>
        <v>18629</v>
      </c>
      <c r="G50" s="24">
        <f>IFERROR('Data Sheet'!F61,0)</f>
        <v>20153</v>
      </c>
      <c r="H50" s="24">
        <f>IFERROR('Data Sheet'!G61,0)</f>
        <v>68740</v>
      </c>
      <c r="I50" s="24">
        <f>IFERROR('Data Sheet'!H61,0)</f>
        <v>70506</v>
      </c>
      <c r="J50" s="24">
        <f>IFERROR('Data Sheet'!I61,0)</f>
        <v>73077</v>
      </c>
      <c r="K50" s="24">
        <f>IFERROR('Data Sheet'!J61,0)</f>
        <v>78489</v>
      </c>
      <c r="L50" s="24">
        <f>IFERROR('Data Sheet'!K61,0)</f>
        <v>79880</v>
      </c>
      <c r="M50" s="24">
        <f>IFERROR('Data Sheet'!L61,0)</f>
        <v>0</v>
      </c>
      <c r="N50" s="11"/>
    </row>
    <row r="52" spans="2:14" x14ac:dyDescent="0.35">
      <c r="B52" s="8" t="s">
        <v>85</v>
      </c>
      <c r="C52" s="12">
        <f>IFERROR('Data Sheet'!B62,0)</f>
        <v>3258</v>
      </c>
      <c r="D52" s="12">
        <f>IFERROR('Data Sheet'!C62,0)</f>
        <v>4419</v>
      </c>
      <c r="E52" s="12">
        <f>IFERROR('Data Sheet'!D62,0)</f>
        <v>4528</v>
      </c>
      <c r="F52" s="12">
        <f>IFERROR('Data Sheet'!E62,0)</f>
        <v>4715</v>
      </c>
      <c r="G52" s="12">
        <f>IFERROR('Data Sheet'!F62,0)</f>
        <v>5479</v>
      </c>
      <c r="H52" s="12">
        <f>IFERROR('Data Sheet'!G62,0)</f>
        <v>51443</v>
      </c>
      <c r="I52" s="12">
        <f>IFERROR('Data Sheet'!H62,0)</f>
        <v>51473</v>
      </c>
      <c r="J52" s="12">
        <f>IFERROR('Data Sheet'!I62,0)</f>
        <v>52678</v>
      </c>
      <c r="K52" s="12">
        <f>IFERROR('Data Sheet'!J62,0)</f>
        <v>53744</v>
      </c>
      <c r="L52" s="12">
        <f>IFERROR('Data Sheet'!K62,0)</f>
        <v>54335</v>
      </c>
      <c r="M52" s="12">
        <f>IFERROR('Data Sheet'!L62,0)</f>
        <v>0</v>
      </c>
    </row>
    <row r="53" spans="2:14" x14ac:dyDescent="0.35">
      <c r="B53" s="8" t="s">
        <v>37</v>
      </c>
      <c r="C53" s="12">
        <f>IFERROR('Data Sheet'!B63,0)</f>
        <v>408</v>
      </c>
      <c r="D53" s="12">
        <f>IFERROR('Data Sheet'!C63,0)</f>
        <v>229</v>
      </c>
      <c r="E53" s="12">
        <f>IFERROR('Data Sheet'!D63,0)</f>
        <v>461</v>
      </c>
      <c r="F53" s="12">
        <f>IFERROR('Data Sheet'!E63,0)</f>
        <v>406</v>
      </c>
      <c r="G53" s="12">
        <f>IFERROR('Data Sheet'!F63,0)</f>
        <v>597</v>
      </c>
      <c r="H53" s="12">
        <f>IFERROR('Data Sheet'!G63,0)</f>
        <v>745</v>
      </c>
      <c r="I53" s="12">
        <f>IFERROR('Data Sheet'!H63,0)</f>
        <v>1313</v>
      </c>
      <c r="J53" s="12">
        <f>IFERROR('Data Sheet'!I63,0)</f>
        <v>1132</v>
      </c>
      <c r="K53" s="12">
        <f>IFERROR('Data Sheet'!J63,0)</f>
        <v>1025</v>
      </c>
      <c r="L53" s="12">
        <f>IFERROR('Data Sheet'!K63,0)</f>
        <v>1009</v>
      </c>
      <c r="M53" s="12">
        <f>IFERROR('Data Sheet'!L63,0)</f>
        <v>0</v>
      </c>
    </row>
    <row r="54" spans="2:14" x14ac:dyDescent="0.35">
      <c r="B54" s="8" t="s">
        <v>38</v>
      </c>
      <c r="C54" s="12">
        <f>IFERROR('Data Sheet'!B64,0)</f>
        <v>2592</v>
      </c>
      <c r="D54" s="12">
        <f>IFERROR('Data Sheet'!C64,0)</f>
        <v>3794</v>
      </c>
      <c r="E54" s="12">
        <f>IFERROR('Data Sheet'!D64,0)</f>
        <v>2873</v>
      </c>
      <c r="F54" s="12">
        <f>IFERROR('Data Sheet'!E64,0)</f>
        <v>2716</v>
      </c>
      <c r="G54" s="12">
        <f>IFERROR('Data Sheet'!F64,0)</f>
        <v>1255</v>
      </c>
      <c r="H54" s="12">
        <f>IFERROR('Data Sheet'!G64,0)</f>
        <v>2709</v>
      </c>
      <c r="I54" s="12">
        <f>IFERROR('Data Sheet'!H64,0)</f>
        <v>3521</v>
      </c>
      <c r="J54" s="12">
        <f>IFERROR('Data Sheet'!I64,0)</f>
        <v>2882</v>
      </c>
      <c r="K54" s="12">
        <f>IFERROR('Data Sheet'!J64,0)</f>
        <v>4625</v>
      </c>
      <c r="L54" s="12">
        <f>IFERROR('Data Sheet'!K64,0)</f>
        <v>3810</v>
      </c>
      <c r="M54" s="12">
        <f>IFERROR('Data Sheet'!L64,0)</f>
        <v>0</v>
      </c>
    </row>
    <row r="55" spans="2:14" x14ac:dyDescent="0.35">
      <c r="B55" s="8" t="s">
        <v>39</v>
      </c>
      <c r="C55" s="12">
        <f>IFERROR('Data Sheet'!B65-SUM('Data Sheet'!B67:B69),0)</f>
        <v>1536</v>
      </c>
      <c r="D55" s="12">
        <f>IFERROR('Data Sheet'!C65-SUM('Data Sheet'!C67:C69),0)</f>
        <v>1810</v>
      </c>
      <c r="E55" s="12">
        <f>IFERROR('Data Sheet'!D65-SUM('Data Sheet'!D67:D69),0)</f>
        <v>2692</v>
      </c>
      <c r="F55" s="12">
        <f>IFERROR('Data Sheet'!E65-SUM('Data Sheet'!E67:E69),0)</f>
        <v>2645</v>
      </c>
      <c r="G55" s="12">
        <f>IFERROR('Data Sheet'!F65-SUM('Data Sheet'!F67:F69),0)</f>
        <v>3793</v>
      </c>
      <c r="H55" s="12">
        <f>IFERROR('Data Sheet'!G65-SUM('Data Sheet'!G67:G69),0)</f>
        <v>4035</v>
      </c>
      <c r="I55" s="12">
        <f>IFERROR('Data Sheet'!H65-SUM('Data Sheet'!H67:H69),0)</f>
        <v>4021</v>
      </c>
      <c r="J55" s="12">
        <f>IFERROR('Data Sheet'!I65-SUM('Data Sheet'!I67:I69),0)</f>
        <v>4377</v>
      </c>
      <c r="K55" s="12">
        <f>IFERROR('Data Sheet'!J65-SUM('Data Sheet'!J67:J69),0)</f>
        <v>4517</v>
      </c>
      <c r="L55" s="12">
        <f>IFERROR('Data Sheet'!K65-SUM('Data Sheet'!K67:K69),0)</f>
        <v>4938</v>
      </c>
      <c r="M55" s="12">
        <f>IFERROR('Data Sheet'!L65-SUM('Data Sheet'!L67:L69),0)</f>
        <v>0</v>
      </c>
    </row>
    <row r="56" spans="2:14" x14ac:dyDescent="0.35">
      <c r="B56" s="20" t="s">
        <v>86</v>
      </c>
      <c r="C56" s="21">
        <f>IFERROR(SUM(C52:C55),0)</f>
        <v>7794</v>
      </c>
      <c r="D56" s="21">
        <f t="shared" ref="D56:M56" si="18">IFERROR(SUM(D52:D55),0)</f>
        <v>10252</v>
      </c>
      <c r="E56" s="21">
        <f t="shared" si="18"/>
        <v>10554</v>
      </c>
      <c r="F56" s="21">
        <f t="shared" si="18"/>
        <v>10482</v>
      </c>
      <c r="G56" s="21">
        <f t="shared" si="18"/>
        <v>11124</v>
      </c>
      <c r="H56" s="21">
        <f t="shared" si="18"/>
        <v>58932</v>
      </c>
      <c r="I56" s="21">
        <f t="shared" si="18"/>
        <v>60328</v>
      </c>
      <c r="J56" s="21">
        <f t="shared" si="18"/>
        <v>61069</v>
      </c>
      <c r="K56" s="21">
        <f t="shared" si="18"/>
        <v>63911</v>
      </c>
      <c r="L56" s="21">
        <f t="shared" si="18"/>
        <v>64092</v>
      </c>
      <c r="M56" s="21">
        <f t="shared" si="18"/>
        <v>0</v>
      </c>
      <c r="N56" s="19"/>
    </row>
    <row r="58" spans="2:14" x14ac:dyDescent="0.35">
      <c r="B58" s="8" t="s">
        <v>40</v>
      </c>
      <c r="C58" s="12">
        <f>IFERROR('Data Sheet'!B67,0)</f>
        <v>1264</v>
      </c>
      <c r="D58" s="12">
        <f>IFERROR('Data Sheet'!C67,0)</f>
        <v>1085</v>
      </c>
      <c r="E58" s="12">
        <f>IFERROR('Data Sheet'!D67,0)</f>
        <v>1310</v>
      </c>
      <c r="F58" s="12">
        <f>IFERROR('Data Sheet'!E67,0)</f>
        <v>1816</v>
      </c>
      <c r="G58" s="12">
        <f>IFERROR('Data Sheet'!F67,0)</f>
        <v>1149</v>
      </c>
      <c r="H58" s="12">
        <f>IFERROR('Data Sheet'!G67,0)</f>
        <v>1758</v>
      </c>
      <c r="I58" s="12">
        <f>IFERROR('Data Sheet'!H67,0)</f>
        <v>2236</v>
      </c>
      <c r="J58" s="12">
        <f>IFERROR('Data Sheet'!I67,0)</f>
        <v>3079</v>
      </c>
      <c r="K58" s="12">
        <f>IFERROR('Data Sheet'!J67,0)</f>
        <v>2997</v>
      </c>
      <c r="L58" s="12">
        <f>IFERROR('Data Sheet'!K67,0)</f>
        <v>3819</v>
      </c>
      <c r="M58" s="12">
        <f>IFERROR('Data Sheet'!L67,0)</f>
        <v>0</v>
      </c>
    </row>
    <row r="59" spans="2:14" x14ac:dyDescent="0.35">
      <c r="B59" s="8" t="s">
        <v>41</v>
      </c>
      <c r="C59" s="12">
        <f>IFERROR('Data Sheet'!B68,0)</f>
        <v>2726</v>
      </c>
      <c r="D59" s="12">
        <f>IFERROR('Data Sheet'!C68,0)</f>
        <v>2541</v>
      </c>
      <c r="E59" s="12">
        <f>IFERROR('Data Sheet'!D68,0)</f>
        <v>2513</v>
      </c>
      <c r="F59" s="12">
        <f>IFERROR('Data Sheet'!E68,0)</f>
        <v>2574</v>
      </c>
      <c r="G59" s="12">
        <f>IFERROR('Data Sheet'!F68,0)</f>
        <v>2767</v>
      </c>
      <c r="H59" s="12">
        <f>IFERROR('Data Sheet'!G68,0)</f>
        <v>3579</v>
      </c>
      <c r="I59" s="12">
        <f>IFERROR('Data Sheet'!H68,0)</f>
        <v>4096</v>
      </c>
      <c r="J59" s="12">
        <f>IFERROR('Data Sheet'!I68,0)</f>
        <v>4251</v>
      </c>
      <c r="K59" s="12">
        <f>IFERROR('Data Sheet'!J68,0)</f>
        <v>4022</v>
      </c>
      <c r="L59" s="12">
        <f>IFERROR('Data Sheet'!K68,0)</f>
        <v>4415</v>
      </c>
      <c r="M59" s="12">
        <f>IFERROR('Data Sheet'!L68,0)</f>
        <v>0</v>
      </c>
    </row>
    <row r="60" spans="2:14" x14ac:dyDescent="0.35">
      <c r="B60" s="8" t="s">
        <v>42</v>
      </c>
      <c r="C60" s="12">
        <f>IFERROR('Data Sheet'!B69,0)</f>
        <v>3009</v>
      </c>
      <c r="D60" s="12">
        <f>IFERROR('Data Sheet'!C69,0)</f>
        <v>1828</v>
      </c>
      <c r="E60" s="12">
        <f>IFERROR('Data Sheet'!D69,0)</f>
        <v>3485</v>
      </c>
      <c r="F60" s="12">
        <f>IFERROR('Data Sheet'!E69,0)</f>
        <v>3757</v>
      </c>
      <c r="G60" s="12">
        <f>IFERROR('Data Sheet'!F69,0)</f>
        <v>5113</v>
      </c>
      <c r="H60" s="12">
        <f>IFERROR('Data Sheet'!G69,0)</f>
        <v>4471</v>
      </c>
      <c r="I60" s="12">
        <f>IFERROR('Data Sheet'!H69,0)</f>
        <v>3846</v>
      </c>
      <c r="J60" s="12">
        <f>IFERROR('Data Sheet'!I69,0)</f>
        <v>4678</v>
      </c>
      <c r="K60" s="12">
        <f>IFERROR('Data Sheet'!J69,0)</f>
        <v>7559</v>
      </c>
      <c r="L60" s="12">
        <f>IFERROR('Data Sheet'!K69,0)</f>
        <v>7554</v>
      </c>
      <c r="M60" s="12">
        <f>IFERROR('Data Sheet'!L69,0)</f>
        <v>0</v>
      </c>
    </row>
    <row r="61" spans="2:14" x14ac:dyDescent="0.35">
      <c r="B61" s="20" t="s">
        <v>87</v>
      </c>
      <c r="C61" s="21">
        <f>IFERROR(SUM(C58:C60),0)</f>
        <v>6999</v>
      </c>
      <c r="D61" s="21">
        <f t="shared" ref="D61:M61" si="19">IFERROR(SUM(D58:D60),0)</f>
        <v>5454</v>
      </c>
      <c r="E61" s="21">
        <f t="shared" si="19"/>
        <v>7308</v>
      </c>
      <c r="F61" s="21">
        <f t="shared" si="19"/>
        <v>8147</v>
      </c>
      <c r="G61" s="21">
        <f t="shared" si="19"/>
        <v>9029</v>
      </c>
      <c r="H61" s="21">
        <f t="shared" si="19"/>
        <v>9808</v>
      </c>
      <c r="I61" s="21">
        <f t="shared" si="19"/>
        <v>10178</v>
      </c>
      <c r="J61" s="21">
        <f t="shared" si="19"/>
        <v>12008</v>
      </c>
      <c r="K61" s="21">
        <f t="shared" si="19"/>
        <v>14578</v>
      </c>
      <c r="L61" s="21">
        <f t="shared" si="19"/>
        <v>15788</v>
      </c>
      <c r="M61" s="21">
        <f t="shared" si="19"/>
        <v>0</v>
      </c>
    </row>
    <row r="63" spans="2:14" ht="15" thickBot="1" x14ac:dyDescent="0.4">
      <c r="B63" s="23" t="s">
        <v>83</v>
      </c>
      <c r="C63" s="24">
        <f>IFERROR(SUM(C61,C56),0)</f>
        <v>14793</v>
      </c>
      <c r="D63" s="24">
        <f t="shared" ref="D63:M63" si="20">IFERROR(SUM(D61,D56),0)</f>
        <v>15706</v>
      </c>
      <c r="E63" s="24">
        <f t="shared" si="20"/>
        <v>17862</v>
      </c>
      <c r="F63" s="24">
        <f t="shared" si="20"/>
        <v>18629</v>
      </c>
      <c r="G63" s="24">
        <f t="shared" si="20"/>
        <v>20153</v>
      </c>
      <c r="H63" s="24">
        <f t="shared" si="20"/>
        <v>68740</v>
      </c>
      <c r="I63" s="24">
        <f t="shared" si="20"/>
        <v>70506</v>
      </c>
      <c r="J63" s="24">
        <f t="shared" si="20"/>
        <v>73077</v>
      </c>
      <c r="K63" s="24">
        <f t="shared" si="20"/>
        <v>78489</v>
      </c>
      <c r="L63" s="24">
        <f t="shared" si="20"/>
        <v>79880</v>
      </c>
      <c r="M63" s="24">
        <f t="shared" si="20"/>
        <v>0</v>
      </c>
    </row>
    <row r="65" spans="1:13" x14ac:dyDescent="0.35">
      <c r="B65" s="16" t="s">
        <v>88</v>
      </c>
      <c r="C65" s="16" t="b">
        <f>C63=C50</f>
        <v>1</v>
      </c>
      <c r="D65" s="16" t="b">
        <f t="shared" ref="D65:M65" si="21">D63=D50</f>
        <v>1</v>
      </c>
      <c r="E65" s="16" t="b">
        <f t="shared" si="21"/>
        <v>1</v>
      </c>
      <c r="F65" s="16" t="b">
        <f t="shared" si="21"/>
        <v>1</v>
      </c>
      <c r="G65" s="16" t="b">
        <f t="shared" si="21"/>
        <v>1</v>
      </c>
      <c r="H65" s="16" t="b">
        <f t="shared" si="21"/>
        <v>1</v>
      </c>
      <c r="I65" s="16" t="b">
        <f t="shared" si="21"/>
        <v>1</v>
      </c>
      <c r="J65" s="16" t="b">
        <f t="shared" si="21"/>
        <v>1</v>
      </c>
      <c r="K65" s="16" t="b">
        <f t="shared" si="21"/>
        <v>1</v>
      </c>
      <c r="L65" s="16" t="b">
        <f t="shared" si="21"/>
        <v>1</v>
      </c>
      <c r="M65" s="16" t="b">
        <f t="shared" si="21"/>
        <v>1</v>
      </c>
    </row>
    <row r="68" spans="1:13" x14ac:dyDescent="0.35">
      <c r="A68" s="17" t="s">
        <v>56</v>
      </c>
      <c r="B68" s="17" t="s">
        <v>114</v>
      </c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</row>
    <row r="69" spans="1:13" x14ac:dyDescent="0.35">
      <c r="B69" s="11" t="s">
        <v>115</v>
      </c>
    </row>
    <row r="70" spans="1:13" x14ac:dyDescent="0.35">
      <c r="B70" s="8" t="s">
        <v>89</v>
      </c>
      <c r="C70" s="12">
        <f>IFERROR('Raw Cash Flow Data'!E4,0)</f>
        <v>6025</v>
      </c>
      <c r="D70" s="12">
        <f>IFERROR('Raw Cash Flow Data'!F4,0)</f>
        <v>6512</v>
      </c>
      <c r="E70" s="12">
        <f>IFERROR('Raw Cash Flow Data'!G4,0)</f>
        <v>7485</v>
      </c>
      <c r="F70" s="12">
        <f>IFERROR('Raw Cash Flow Data'!H4,0)</f>
        <v>8909</v>
      </c>
      <c r="G70" s="12">
        <f>IFERROR('Raw Cash Flow Data'!I4,0)</f>
        <v>9723</v>
      </c>
      <c r="H70" s="12">
        <f>IFERROR('Raw Cash Flow Data'!J4,0)</f>
        <v>11672</v>
      </c>
      <c r="I70" s="12">
        <f>IFERROR('Raw Cash Flow Data'!K4,0)</f>
        <v>12829</v>
      </c>
      <c r="J70" s="12">
        <f>IFERROR('Raw Cash Flow Data'!L4,0)</f>
        <v>14089</v>
      </c>
      <c r="K70" s="12">
        <f>IFERROR('Raw Cash Flow Data'!M4,0)</f>
        <v>14537</v>
      </c>
      <c r="L70" s="12">
        <f>IFERROR('Raw Cash Flow Data'!N4,0)</f>
        <v>14942</v>
      </c>
    </row>
    <row r="71" spans="1:13" x14ac:dyDescent="0.35">
      <c r="B71" s="8" t="s">
        <v>40</v>
      </c>
      <c r="C71" s="12">
        <f>IFERROR('Raw Cash Flow Data'!E5,0)</f>
        <v>-257</v>
      </c>
      <c r="D71" s="12">
        <f>IFERROR('Raw Cash Flow Data'!F5,0)</f>
        <v>173</v>
      </c>
      <c r="E71" s="12">
        <f>IFERROR('Raw Cash Flow Data'!G5,0)</f>
        <v>0</v>
      </c>
      <c r="F71" s="12">
        <f>IFERROR('Raw Cash Flow Data'!H5,0)</f>
        <v>0</v>
      </c>
      <c r="G71" s="12">
        <f>IFERROR('Raw Cash Flow Data'!I5,0)</f>
        <v>0</v>
      </c>
      <c r="H71" s="12">
        <f>IFERROR('Raw Cash Flow Data'!J5,0)</f>
        <v>0</v>
      </c>
      <c r="I71" s="12">
        <f>IFERROR('Raw Cash Flow Data'!K5,0)</f>
        <v>0</v>
      </c>
      <c r="J71" s="12">
        <f>IFERROR('Raw Cash Flow Data'!L5,0)</f>
        <v>0</v>
      </c>
      <c r="K71" s="12">
        <f>IFERROR('Raw Cash Flow Data'!M5,0)</f>
        <v>0</v>
      </c>
      <c r="L71" s="12">
        <f>IFERROR('Raw Cash Flow Data'!N5,0)</f>
        <v>0</v>
      </c>
    </row>
    <row r="72" spans="1:13" x14ac:dyDescent="0.35">
      <c r="B72" s="8" t="s">
        <v>41</v>
      </c>
      <c r="C72" s="12">
        <f>IFERROR('Raw Cash Flow Data'!E6,0)</f>
        <v>89</v>
      </c>
      <c r="D72" s="12">
        <f>IFERROR('Raw Cash Flow Data'!F6,0)</f>
        <v>37</v>
      </c>
      <c r="E72" s="12">
        <f>IFERROR('Raw Cash Flow Data'!G6,0)</f>
        <v>-146</v>
      </c>
      <c r="F72" s="12">
        <f>IFERROR('Raw Cash Flow Data'!H6,0)</f>
        <v>-195</v>
      </c>
      <c r="G72" s="12">
        <f>IFERROR('Raw Cash Flow Data'!I6,0)</f>
        <v>-331</v>
      </c>
      <c r="H72" s="12">
        <f>IFERROR('Raw Cash Flow Data'!J6,0)</f>
        <v>-543</v>
      </c>
      <c r="I72" s="12">
        <f>IFERROR('Raw Cash Flow Data'!K6,0)</f>
        <v>-758</v>
      </c>
      <c r="J72" s="12">
        <f>IFERROR('Raw Cash Flow Data'!L6,0)</f>
        <v>-339</v>
      </c>
      <c r="K72" s="12">
        <f>IFERROR('Raw Cash Flow Data'!M6,0)</f>
        <v>74</v>
      </c>
      <c r="L72" s="12">
        <f>IFERROR('Raw Cash Flow Data'!N6,0)</f>
        <v>-584</v>
      </c>
    </row>
    <row r="73" spans="1:13" x14ac:dyDescent="0.35">
      <c r="B73" s="8" t="s">
        <v>90</v>
      </c>
      <c r="C73" s="12">
        <f>IFERROR('Raw Cash Flow Data'!E7,0)</f>
        <v>164</v>
      </c>
      <c r="D73" s="12">
        <f>IFERROR('Raw Cash Flow Data'!F7,0)</f>
        <v>501</v>
      </c>
      <c r="E73" s="12">
        <f>IFERROR('Raw Cash Flow Data'!G7,0)</f>
        <v>0</v>
      </c>
      <c r="F73" s="12">
        <f>IFERROR('Raw Cash Flow Data'!H7,0)</f>
        <v>0</v>
      </c>
      <c r="G73" s="12">
        <f>IFERROR('Raw Cash Flow Data'!I7,0)</f>
        <v>0</v>
      </c>
      <c r="H73" s="12">
        <f>IFERROR('Raw Cash Flow Data'!J7,0)</f>
        <v>0</v>
      </c>
      <c r="I73" s="12">
        <f>IFERROR('Raw Cash Flow Data'!K7,0)</f>
        <v>0</v>
      </c>
      <c r="J73" s="12">
        <f>IFERROR('Raw Cash Flow Data'!L7,0)</f>
        <v>0</v>
      </c>
      <c r="K73" s="12">
        <f>IFERROR('Raw Cash Flow Data'!M7,0)</f>
        <v>0</v>
      </c>
      <c r="L73" s="12">
        <f>IFERROR('Raw Cash Flow Data'!N7,0)</f>
        <v>0</v>
      </c>
    </row>
    <row r="74" spans="1:13" x14ac:dyDescent="0.35">
      <c r="B74" s="8" t="s">
        <v>91</v>
      </c>
      <c r="C74" s="12">
        <f>IFERROR('Raw Cash Flow Data'!E8,0)</f>
        <v>0</v>
      </c>
      <c r="D74" s="12">
        <f>IFERROR('Raw Cash Flow Data'!F8,0)</f>
        <v>0</v>
      </c>
      <c r="E74" s="12">
        <f>IFERROR('Raw Cash Flow Data'!G8,0)</f>
        <v>0</v>
      </c>
      <c r="F74" s="12">
        <f>IFERROR('Raw Cash Flow Data'!H8,0)</f>
        <v>0</v>
      </c>
      <c r="G74" s="12">
        <f>IFERROR('Raw Cash Flow Data'!I8,0)</f>
        <v>0</v>
      </c>
      <c r="H74" s="12">
        <f>IFERROR('Raw Cash Flow Data'!J8,0)</f>
        <v>0</v>
      </c>
      <c r="I74" s="12">
        <f>IFERROR('Raw Cash Flow Data'!K8,0)</f>
        <v>0</v>
      </c>
      <c r="J74" s="12">
        <f>IFERROR('Raw Cash Flow Data'!L8,0)</f>
        <v>0</v>
      </c>
      <c r="K74" s="12">
        <f>IFERROR('Raw Cash Flow Data'!M8,0)</f>
        <v>0</v>
      </c>
      <c r="L74" s="12">
        <f>IFERROR('Raw Cash Flow Data'!N8,0)</f>
        <v>0</v>
      </c>
    </row>
    <row r="75" spans="1:13" x14ac:dyDescent="0.35">
      <c r="B75" s="8" t="s">
        <v>92</v>
      </c>
      <c r="C75" s="12">
        <f>IFERROR('Raw Cash Flow Data'!E9,0)</f>
        <v>-77</v>
      </c>
      <c r="D75" s="12">
        <f>IFERROR('Raw Cash Flow Data'!F9,0)</f>
        <v>-99</v>
      </c>
      <c r="E75" s="12">
        <f>IFERROR('Raw Cash Flow Data'!G9,0)</f>
        <v>982</v>
      </c>
      <c r="F75" s="12">
        <f>IFERROR('Raw Cash Flow Data'!H9,0)</f>
        <v>-147</v>
      </c>
      <c r="G75" s="12">
        <f>IFERROR('Raw Cash Flow Data'!I9,0)</f>
        <v>742</v>
      </c>
      <c r="H75" s="12">
        <f>IFERROR('Raw Cash Flow Data'!J9,0)</f>
        <v>442</v>
      </c>
      <c r="I75" s="12">
        <f>IFERROR('Raw Cash Flow Data'!K9,0)</f>
        <v>-242</v>
      </c>
      <c r="J75" s="12">
        <f>IFERROR('Raw Cash Flow Data'!L9,0)</f>
        <v>-621</v>
      </c>
      <c r="K75" s="12">
        <f>IFERROR('Raw Cash Flow Data'!M9,0)</f>
        <v>1239</v>
      </c>
      <c r="L75" s="12">
        <f>IFERROR('Raw Cash Flow Data'!N9,0)</f>
        <v>-204</v>
      </c>
    </row>
    <row r="76" spans="1:13" x14ac:dyDescent="0.35">
      <c r="B76" s="8" t="s">
        <v>93</v>
      </c>
      <c r="C76" s="12">
        <f>IFERROR('Raw Cash Flow Data'!E10,0)</f>
        <v>-81</v>
      </c>
      <c r="D76" s="12">
        <f>IFERROR('Raw Cash Flow Data'!F10,0)</f>
        <v>566</v>
      </c>
      <c r="E76" s="12">
        <f>IFERROR('Raw Cash Flow Data'!G10,0)</f>
        <v>836</v>
      </c>
      <c r="F76" s="12">
        <f>IFERROR('Raw Cash Flow Data'!H10,0)</f>
        <v>-342</v>
      </c>
      <c r="G76" s="12">
        <f>IFERROR('Raw Cash Flow Data'!I10,0)</f>
        <v>411</v>
      </c>
      <c r="H76" s="12">
        <f>IFERROR('Raw Cash Flow Data'!J10,0)</f>
        <v>-101</v>
      </c>
      <c r="I76" s="12">
        <f>IFERROR('Raw Cash Flow Data'!K10,0)</f>
        <v>-1000</v>
      </c>
      <c r="J76" s="12">
        <f>IFERROR('Raw Cash Flow Data'!L10,0)</f>
        <v>-960</v>
      </c>
      <c r="K76" s="12">
        <f>IFERROR('Raw Cash Flow Data'!M10,0)</f>
        <v>1313</v>
      </c>
      <c r="L76" s="12">
        <f>IFERROR('Raw Cash Flow Data'!N10,0)</f>
        <v>-788</v>
      </c>
    </row>
    <row r="77" spans="1:13" x14ac:dyDescent="0.35">
      <c r="B77" s="8" t="s">
        <v>94</v>
      </c>
      <c r="C77" s="12">
        <f>IFERROR('Raw Cash Flow Data'!E11,0)</f>
        <v>-1765</v>
      </c>
      <c r="D77" s="12">
        <f>IFERROR('Raw Cash Flow Data'!F11,0)</f>
        <v>-1859</v>
      </c>
      <c r="E77" s="12">
        <f>IFERROR('Raw Cash Flow Data'!G11,0)</f>
        <v>-2264</v>
      </c>
      <c r="F77" s="12">
        <f>IFERROR('Raw Cash Flow Data'!H11,0)</f>
        <v>-2767</v>
      </c>
      <c r="G77" s="12">
        <f>IFERROR('Raw Cash Flow Data'!I11,0)</f>
        <v>-2505</v>
      </c>
      <c r="H77" s="12">
        <f>IFERROR('Raw Cash Flow Data'!J11,0)</f>
        <v>-2407</v>
      </c>
      <c r="I77" s="12">
        <f>IFERROR('Raw Cash Flow Data'!K11,0)</f>
        <v>-2784</v>
      </c>
      <c r="J77" s="12">
        <f>IFERROR('Raw Cash Flow Data'!L11,0)</f>
        <v>-3138</v>
      </c>
      <c r="K77" s="12">
        <f>IFERROR('Raw Cash Flow Data'!M11,0)</f>
        <v>-381</v>
      </c>
      <c r="L77" s="12">
        <f>IFERROR('Raw Cash Flow Data'!N11,0)</f>
        <v>-2268</v>
      </c>
    </row>
    <row r="78" spans="1:13" x14ac:dyDescent="0.35">
      <c r="B78" s="8" t="s">
        <v>156</v>
      </c>
      <c r="C78" s="12">
        <f>IFERROR('Raw Cash Flow Data'!E12,0)</f>
        <v>-8</v>
      </c>
      <c r="D78" s="12">
        <f>IFERROR('Raw Cash Flow Data'!F12,0)</f>
        <v>-21</v>
      </c>
      <c r="E78" s="12">
        <f>IFERROR('Raw Cash Flow Data'!G12,0)</f>
        <v>0</v>
      </c>
      <c r="F78" s="12">
        <f>IFERROR('Raw Cash Flow Data'!H12,0)</f>
        <v>0</v>
      </c>
      <c r="G78" s="12">
        <f>IFERROR('Raw Cash Flow Data'!I12,0)</f>
        <v>0</v>
      </c>
      <c r="H78" s="12">
        <f>IFERROR('Raw Cash Flow Data'!J12,0)</f>
        <v>0</v>
      </c>
      <c r="I78" s="12">
        <f>IFERROR('Raw Cash Flow Data'!K12,0)</f>
        <v>0</v>
      </c>
      <c r="J78" s="12">
        <f>IFERROR('Raw Cash Flow Data'!L12,0)</f>
        <v>0</v>
      </c>
      <c r="K78" s="12">
        <f>IFERROR('Raw Cash Flow Data'!M12,0)</f>
        <v>0</v>
      </c>
      <c r="L78" s="12">
        <f>IFERROR('Raw Cash Flow Data'!N12,0)</f>
        <v>0</v>
      </c>
    </row>
    <row r="79" spans="1:13" x14ac:dyDescent="0.35">
      <c r="B79" s="8" t="s">
        <v>157</v>
      </c>
      <c r="C79" s="12">
        <f>IFERROR('Raw Cash Flow Data'!E13,0)</f>
        <v>0</v>
      </c>
      <c r="D79" s="12">
        <f>IFERROR('Raw Cash Flow Data'!F13,0)</f>
        <v>-13</v>
      </c>
      <c r="E79" s="12">
        <f>IFERROR('Raw Cash Flow Data'!G13,0)</f>
        <v>2</v>
      </c>
      <c r="F79" s="12">
        <f>IFERROR('Raw Cash Flow Data'!H13,0)</f>
        <v>0</v>
      </c>
      <c r="G79" s="12">
        <f>IFERROR('Raw Cash Flow Data'!I13,0)</f>
        <v>-6</v>
      </c>
      <c r="H79" s="12">
        <f>IFERROR('Raw Cash Flow Data'!J13,0)</f>
        <v>-1</v>
      </c>
      <c r="I79" s="12">
        <f>IFERROR('Raw Cash Flow Data'!K13,0)</f>
        <v>3</v>
      </c>
      <c r="J79" s="12">
        <f>IFERROR('Raw Cash Flow Data'!L13,0)</f>
        <v>0</v>
      </c>
      <c r="K79" s="12">
        <f>IFERROR('Raw Cash Flow Data'!M13,0)</f>
        <v>0</v>
      </c>
      <c r="L79" s="12">
        <f>IFERROR('Raw Cash Flow Data'!N13,0)</f>
        <v>0</v>
      </c>
    </row>
    <row r="80" spans="1:13" x14ac:dyDescent="0.35">
      <c r="B80" s="20" t="s">
        <v>116</v>
      </c>
      <c r="C80" s="21">
        <f>IFERROR(SUM(C70:C79),0)</f>
        <v>4090</v>
      </c>
      <c r="D80" s="21">
        <f t="shared" ref="D80:L80" si="22">IFERROR(SUM(D70:D79),0)</f>
        <v>5797</v>
      </c>
      <c r="E80" s="21">
        <f t="shared" si="22"/>
        <v>6895</v>
      </c>
      <c r="F80" s="21">
        <f t="shared" si="22"/>
        <v>5458</v>
      </c>
      <c r="G80" s="21">
        <f t="shared" si="22"/>
        <v>8034</v>
      </c>
      <c r="H80" s="21">
        <f t="shared" si="22"/>
        <v>9062</v>
      </c>
      <c r="I80" s="21">
        <f t="shared" si="22"/>
        <v>8048</v>
      </c>
      <c r="J80" s="21">
        <f t="shared" si="22"/>
        <v>9031</v>
      </c>
      <c r="K80" s="21">
        <f t="shared" si="22"/>
        <v>16782</v>
      </c>
      <c r="L80" s="21">
        <f t="shared" si="22"/>
        <v>11098</v>
      </c>
      <c r="M80" s="22"/>
    </row>
    <row r="82" spans="2:12" x14ac:dyDescent="0.35">
      <c r="B82" s="11" t="s">
        <v>118</v>
      </c>
    </row>
    <row r="83" spans="2:12" x14ac:dyDescent="0.35">
      <c r="B83" s="8" t="s">
        <v>95</v>
      </c>
      <c r="C83" s="12">
        <f>IFERROR('Raw Cash Flow Data'!E15,0)</f>
        <v>-810</v>
      </c>
      <c r="D83" s="12">
        <f>IFERROR('Raw Cash Flow Data'!F15,0)</f>
        <v>-1113</v>
      </c>
      <c r="E83" s="12">
        <f>IFERROR('Raw Cash Flow Data'!G15,0)</f>
        <v>-895</v>
      </c>
      <c r="F83" s="12">
        <f>IFERROR('Raw Cash Flow Data'!H15,0)</f>
        <v>-767</v>
      </c>
      <c r="G83" s="12">
        <f>IFERROR('Raw Cash Flow Data'!I15,0)</f>
        <v>-862</v>
      </c>
      <c r="H83" s="12">
        <f>IFERROR('Raw Cash Flow Data'!J15,0)</f>
        <v>-4163</v>
      </c>
      <c r="I83" s="12">
        <f>IFERROR('Raw Cash Flow Data'!K15,0)</f>
        <v>-1228</v>
      </c>
      <c r="J83" s="12">
        <f>IFERROR('Raw Cash Flow Data'!L15,0)</f>
        <v>-1192</v>
      </c>
      <c r="K83" s="12">
        <f>IFERROR('Raw Cash Flow Data'!M15,0)</f>
        <v>-1477</v>
      </c>
      <c r="L83" s="12">
        <f>IFERROR('Raw Cash Flow Data'!N15,0)</f>
        <v>-1275</v>
      </c>
    </row>
    <row r="84" spans="2:12" x14ac:dyDescent="0.35">
      <c r="B84" s="8" t="s">
        <v>96</v>
      </c>
      <c r="C84" s="12">
        <f>IFERROR('Raw Cash Flow Data'!E16,0)</f>
        <v>99</v>
      </c>
      <c r="D84" s="12">
        <f>IFERROR('Raw Cash Flow Data'!F16,0)</f>
        <v>176</v>
      </c>
      <c r="E84" s="12">
        <f>IFERROR('Raw Cash Flow Data'!G16,0)</f>
        <v>32</v>
      </c>
      <c r="F84" s="12">
        <f>IFERROR('Raw Cash Flow Data'!H16,0)</f>
        <v>13</v>
      </c>
      <c r="G84" s="12">
        <f>IFERROR('Raw Cash Flow Data'!I16,0)</f>
        <v>52</v>
      </c>
      <c r="H84" s="12">
        <f>IFERROR('Raw Cash Flow Data'!J16,0)</f>
        <v>97</v>
      </c>
      <c r="I84" s="12">
        <f>IFERROR('Raw Cash Flow Data'!K16,0)</f>
        <v>175</v>
      </c>
      <c r="J84" s="12">
        <f>IFERROR('Raw Cash Flow Data'!L16,0)</f>
        <v>181</v>
      </c>
      <c r="K84" s="12">
        <f>IFERROR('Raw Cash Flow Data'!M16,0)</f>
        <v>20</v>
      </c>
      <c r="L84" s="12">
        <f>IFERROR('Raw Cash Flow Data'!N16,0)</f>
        <v>13</v>
      </c>
    </row>
    <row r="85" spans="2:12" x14ac:dyDescent="0.35">
      <c r="B85" s="8" t="s">
        <v>97</v>
      </c>
      <c r="C85" s="12">
        <f>IFERROR('Raw Cash Flow Data'!E17,0)</f>
        <v>-20666</v>
      </c>
      <c r="D85" s="12">
        <f>IFERROR('Raw Cash Flow Data'!F17,0)</f>
        <v>-31214</v>
      </c>
      <c r="E85" s="12">
        <f>IFERROR('Raw Cash Flow Data'!G17,0)</f>
        <v>-51855</v>
      </c>
      <c r="F85" s="12">
        <f>IFERROR('Raw Cash Flow Data'!H17,0)</f>
        <v>-74365</v>
      </c>
      <c r="G85" s="12">
        <f>IFERROR('Raw Cash Flow Data'!I17,0)</f>
        <v>-36090</v>
      </c>
      <c r="H85" s="12">
        <f>IFERROR('Raw Cash Flow Data'!J17,0)</f>
        <v>-39920</v>
      </c>
      <c r="I85" s="12">
        <f>IFERROR('Raw Cash Flow Data'!K17,0)</f>
        <v>-48522</v>
      </c>
      <c r="J85" s="12">
        <f>IFERROR('Raw Cash Flow Data'!L17,0)</f>
        <v>-22649</v>
      </c>
      <c r="K85" s="12">
        <f>IFERROR('Raw Cash Flow Data'!M17,0)</f>
        <v>-21337</v>
      </c>
      <c r="L85" s="12">
        <f>IFERROR('Raw Cash Flow Data'!N17,0)</f>
        <v>-22957</v>
      </c>
    </row>
    <row r="86" spans="2:12" x14ac:dyDescent="0.35">
      <c r="B86" s="8" t="s">
        <v>98</v>
      </c>
      <c r="C86" s="12">
        <f>IFERROR('Raw Cash Flow Data'!E18,0)</f>
        <v>20937</v>
      </c>
      <c r="D86" s="12">
        <f>IFERROR('Raw Cash Flow Data'!F18,0)</f>
        <v>30083</v>
      </c>
      <c r="E86" s="12">
        <f>IFERROR('Raw Cash Flow Data'!G18,0)</f>
        <v>52897</v>
      </c>
      <c r="F86" s="12">
        <f>IFERROR('Raw Cash Flow Data'!H18,0)</f>
        <v>74691</v>
      </c>
      <c r="G86" s="12">
        <f>IFERROR('Raw Cash Flow Data'!I18,0)</f>
        <v>37690</v>
      </c>
      <c r="H86" s="12">
        <f>IFERROR('Raw Cash Flow Data'!J18,0)</f>
        <v>38486</v>
      </c>
      <c r="I86" s="12">
        <f>IFERROR('Raw Cash Flow Data'!K18,0)</f>
        <v>47786</v>
      </c>
      <c r="J86" s="12">
        <f>IFERROR('Raw Cash Flow Data'!L18,0)</f>
        <v>23462</v>
      </c>
      <c r="K86" s="12">
        <f>IFERROR('Raw Cash Flow Data'!M18,0)</f>
        <v>19846</v>
      </c>
      <c r="L86" s="12">
        <f>IFERROR('Raw Cash Flow Data'!N18,0)</f>
        <v>23987</v>
      </c>
    </row>
    <row r="87" spans="2:12" x14ac:dyDescent="0.35">
      <c r="B87" s="8" t="s">
        <v>99</v>
      </c>
      <c r="C87" s="12">
        <f>IFERROR('Raw Cash Flow Data'!E19,0)</f>
        <v>315</v>
      </c>
      <c r="D87" s="12">
        <f>IFERROR('Raw Cash Flow Data'!F19,0)</f>
        <v>264</v>
      </c>
      <c r="E87" s="12">
        <f>IFERROR('Raw Cash Flow Data'!G19,0)</f>
        <v>297</v>
      </c>
      <c r="F87" s="12">
        <f>IFERROR('Raw Cash Flow Data'!H19,0)</f>
        <v>289</v>
      </c>
      <c r="G87" s="12">
        <f>IFERROR('Raw Cash Flow Data'!I19,0)</f>
        <v>351</v>
      </c>
      <c r="H87" s="12">
        <f>IFERROR('Raw Cash Flow Data'!J19,0)</f>
        <v>277</v>
      </c>
      <c r="I87" s="12">
        <f>IFERROR('Raw Cash Flow Data'!K19,0)</f>
        <v>161</v>
      </c>
      <c r="J87" s="12">
        <f>IFERROR('Raw Cash Flow Data'!L19,0)</f>
        <v>259</v>
      </c>
      <c r="K87" s="12">
        <f>IFERROR('Raw Cash Flow Data'!M19,0)</f>
        <v>425</v>
      </c>
      <c r="L87" s="12">
        <f>IFERROR('Raw Cash Flow Data'!N19,0)</f>
        <v>835</v>
      </c>
    </row>
    <row r="88" spans="2:12" x14ac:dyDescent="0.35">
      <c r="B88" s="8" t="s">
        <v>100</v>
      </c>
      <c r="C88" s="12">
        <f>IFERROR('Raw Cash Flow Data'!E20,0)</f>
        <v>33</v>
      </c>
      <c r="D88" s="12">
        <f>IFERROR('Raw Cash Flow Data'!F20,0)</f>
        <v>14</v>
      </c>
      <c r="E88" s="12">
        <f>IFERROR('Raw Cash Flow Data'!G20,0)</f>
        <v>0</v>
      </c>
      <c r="F88" s="12">
        <f>IFERROR('Raw Cash Flow Data'!H20,0)</f>
        <v>1</v>
      </c>
      <c r="G88" s="12">
        <f>IFERROR('Raw Cash Flow Data'!I20,0)</f>
        <v>1</v>
      </c>
      <c r="H88" s="12">
        <f>IFERROR('Raw Cash Flow Data'!J20,0)</f>
        <v>1</v>
      </c>
      <c r="I88" s="12">
        <f>IFERROR('Raw Cash Flow Data'!K20,0)</f>
        <v>1</v>
      </c>
      <c r="J88" s="12">
        <f>IFERROR('Raw Cash Flow Data'!L20,0)</f>
        <v>2</v>
      </c>
      <c r="K88" s="12">
        <f>IFERROR('Raw Cash Flow Data'!M20,0)</f>
        <v>3</v>
      </c>
      <c r="L88" s="12">
        <f>IFERROR('Raw Cash Flow Data'!N20,0)</f>
        <v>0</v>
      </c>
    </row>
    <row r="89" spans="2:12" x14ac:dyDescent="0.35">
      <c r="B89" s="8" t="s">
        <v>158</v>
      </c>
      <c r="C89" s="12">
        <f>IFERROR('Raw Cash Flow Data'!E21,0)</f>
        <v>0</v>
      </c>
      <c r="D89" s="12">
        <f>IFERROR('Raw Cash Flow Data'!F21,0)</f>
        <v>0</v>
      </c>
      <c r="E89" s="12">
        <f>IFERROR('Raw Cash Flow Data'!G21,0)</f>
        <v>0</v>
      </c>
      <c r="F89" s="12">
        <f>IFERROR('Raw Cash Flow Data'!H21,0)</f>
        <v>0</v>
      </c>
      <c r="G89" s="12">
        <f>IFERROR('Raw Cash Flow Data'!I21,0)</f>
        <v>0</v>
      </c>
      <c r="H89" s="12">
        <f>IFERROR('Raw Cash Flow Data'!J21,0)</f>
        <v>0</v>
      </c>
      <c r="I89" s="12">
        <f>IFERROR('Raw Cash Flow Data'!K21,0)</f>
        <v>0</v>
      </c>
      <c r="J89" s="12">
        <f>IFERROR('Raw Cash Flow Data'!L21,0)</f>
        <v>0</v>
      </c>
      <c r="K89" s="12">
        <f>IFERROR('Raw Cash Flow Data'!M21,0)</f>
        <v>0</v>
      </c>
      <c r="L89" s="12">
        <f>IFERROR('Raw Cash Flow Data'!N21,0)</f>
        <v>0</v>
      </c>
    </row>
    <row r="90" spans="2:12" x14ac:dyDescent="0.35">
      <c r="B90" s="8" t="s">
        <v>159</v>
      </c>
      <c r="C90" s="12">
        <f>IFERROR('Raw Cash Flow Data'!E22,0)</f>
        <v>0</v>
      </c>
      <c r="D90" s="12">
        <f>IFERROR('Raw Cash Flow Data'!F22,0)</f>
        <v>0</v>
      </c>
      <c r="E90" s="12">
        <f>IFERROR('Raw Cash Flow Data'!G22,0)</f>
        <v>0</v>
      </c>
      <c r="F90" s="12">
        <f>IFERROR('Raw Cash Flow Data'!H22,0)</f>
        <v>0</v>
      </c>
      <c r="G90" s="12">
        <f>IFERROR('Raw Cash Flow Data'!I22,0)</f>
        <v>0</v>
      </c>
      <c r="H90" s="12">
        <f>IFERROR('Raw Cash Flow Data'!J22,0)</f>
        <v>0</v>
      </c>
      <c r="I90" s="12">
        <f>IFERROR('Raw Cash Flow Data'!K22,0)</f>
        <v>0</v>
      </c>
      <c r="J90" s="12">
        <f>IFERROR('Raw Cash Flow Data'!L22,0)</f>
        <v>0</v>
      </c>
      <c r="K90" s="12">
        <f>IFERROR('Raw Cash Flow Data'!M22,0)</f>
        <v>0</v>
      </c>
      <c r="L90" s="12">
        <f>IFERROR('Raw Cash Flow Data'!N22,0)</f>
        <v>0</v>
      </c>
    </row>
    <row r="91" spans="2:12" x14ac:dyDescent="0.35">
      <c r="B91" s="8" t="s">
        <v>101</v>
      </c>
      <c r="C91" s="12">
        <f>IFERROR('Raw Cash Flow Data'!E23,0)</f>
        <v>161</v>
      </c>
      <c r="D91" s="12">
        <f>IFERROR('Raw Cash Flow Data'!F23,0)</f>
        <v>20</v>
      </c>
      <c r="E91" s="12">
        <f>IFERROR('Raw Cash Flow Data'!G23,0)</f>
        <v>73</v>
      </c>
      <c r="F91" s="12">
        <f>IFERROR('Raw Cash Flow Data'!H23,0)</f>
        <v>0</v>
      </c>
      <c r="G91" s="12">
        <f>IFERROR('Raw Cash Flow Data'!I23,0)</f>
        <v>0</v>
      </c>
      <c r="H91" s="12">
        <f>IFERROR('Raw Cash Flow Data'!J23,0)</f>
        <v>0</v>
      </c>
      <c r="I91" s="12">
        <f>IFERROR('Raw Cash Flow Data'!K23,0)</f>
        <v>0</v>
      </c>
      <c r="J91" s="12">
        <f>IFERROR('Raw Cash Flow Data'!L23,0)</f>
        <v>0</v>
      </c>
      <c r="K91" s="12">
        <f>IFERROR('Raw Cash Flow Data'!M23,0)</f>
        <v>0</v>
      </c>
      <c r="L91" s="12">
        <f>IFERROR('Raw Cash Flow Data'!N23,0)</f>
        <v>0</v>
      </c>
    </row>
    <row r="92" spans="2:12" x14ac:dyDescent="0.35">
      <c r="B92" s="8" t="s">
        <v>102</v>
      </c>
      <c r="C92" s="12">
        <f>IFERROR('Raw Cash Flow Data'!E24,0)</f>
        <v>0</v>
      </c>
      <c r="D92" s="12">
        <f>IFERROR('Raw Cash Flow Data'!F24,0)</f>
        <v>0</v>
      </c>
      <c r="E92" s="12">
        <f>IFERROR('Raw Cash Flow Data'!G24,0)</f>
        <v>0</v>
      </c>
      <c r="F92" s="12">
        <f>IFERROR('Raw Cash Flow Data'!H24,0)</f>
        <v>0</v>
      </c>
      <c r="G92" s="12">
        <f>IFERROR('Raw Cash Flow Data'!I24,0)</f>
        <v>0</v>
      </c>
      <c r="H92" s="12">
        <f>IFERROR('Raw Cash Flow Data'!J24,0)</f>
        <v>0</v>
      </c>
      <c r="I92" s="12">
        <f>IFERROR('Raw Cash Flow Data'!K24,0)</f>
        <v>0</v>
      </c>
      <c r="J92" s="12">
        <f>IFERROR('Raw Cash Flow Data'!L24,0)</f>
        <v>-334</v>
      </c>
      <c r="K92" s="12">
        <f>IFERROR('Raw Cash Flow Data'!M24,0)</f>
        <v>0</v>
      </c>
      <c r="L92" s="12">
        <f>IFERROR('Raw Cash Flow Data'!N24,0)</f>
        <v>0</v>
      </c>
    </row>
    <row r="93" spans="2:12" x14ac:dyDescent="0.35">
      <c r="B93" s="8" t="s">
        <v>103</v>
      </c>
      <c r="C93" s="12">
        <f>IFERROR('Raw Cash Flow Data'!E25,0)</f>
        <v>-351</v>
      </c>
      <c r="D93" s="12">
        <f>IFERROR('Raw Cash Flow Data'!F25,0)</f>
        <v>597</v>
      </c>
      <c r="E93" s="12">
        <f>IFERROR('Raw Cash Flow Data'!G25,0)</f>
        <v>-1612</v>
      </c>
      <c r="F93" s="12">
        <f>IFERROR('Raw Cash Flow Data'!H25,0)</f>
        <v>-300</v>
      </c>
      <c r="G93" s="12">
        <f>IFERROR('Raw Cash Flow Data'!I25,0)</f>
        <v>649</v>
      </c>
      <c r="H93" s="12">
        <f>IFERROR('Raw Cash Flow Data'!J25,0)</f>
        <v>3994</v>
      </c>
      <c r="I93" s="12">
        <f>IFERROR('Raw Cash Flow Data'!K25,0)</f>
        <v>-101</v>
      </c>
      <c r="J93" s="12">
        <f>IFERROR('Raw Cash Flow Data'!L25,0)</f>
        <v>-1213</v>
      </c>
      <c r="K93" s="12">
        <f>IFERROR('Raw Cash Flow Data'!M25,0)</f>
        <v>-2804</v>
      </c>
      <c r="L93" s="12">
        <f>IFERROR('Raw Cash Flow Data'!N25,0)</f>
        <v>5870</v>
      </c>
    </row>
    <row r="94" spans="2:12" x14ac:dyDescent="0.35">
      <c r="B94" s="20" t="s">
        <v>117</v>
      </c>
      <c r="C94" s="21">
        <f>IFERROR(SUM(C83:C93),0)</f>
        <v>-282</v>
      </c>
      <c r="D94" s="21">
        <f t="shared" ref="D94:L94" si="23">IFERROR(SUM(D83:D93),0)</f>
        <v>-1173</v>
      </c>
      <c r="E94" s="21">
        <f t="shared" si="23"/>
        <v>-1063</v>
      </c>
      <c r="F94" s="21">
        <f t="shared" si="23"/>
        <v>-438</v>
      </c>
      <c r="G94" s="21">
        <f t="shared" si="23"/>
        <v>1791</v>
      </c>
      <c r="H94" s="21">
        <f t="shared" si="23"/>
        <v>-1228</v>
      </c>
      <c r="I94" s="21">
        <f t="shared" si="23"/>
        <v>-1728</v>
      </c>
      <c r="J94" s="21">
        <f t="shared" si="23"/>
        <v>-1484</v>
      </c>
      <c r="K94" s="21">
        <f t="shared" si="23"/>
        <v>-5324</v>
      </c>
      <c r="L94" s="21">
        <f t="shared" si="23"/>
        <v>6473</v>
      </c>
    </row>
    <row r="96" spans="2:12" x14ac:dyDescent="0.35">
      <c r="B96" s="11" t="s">
        <v>119</v>
      </c>
    </row>
    <row r="97" spans="2:12" x14ac:dyDescent="0.35">
      <c r="B97" s="8" t="s">
        <v>104</v>
      </c>
      <c r="C97" s="12">
        <f>IFERROR('Raw Cash Flow Data'!E27,0)</f>
        <v>0</v>
      </c>
      <c r="D97" s="12">
        <f>IFERROR('Raw Cash Flow Data'!F27,0)</f>
        <v>0</v>
      </c>
      <c r="E97" s="12">
        <f>IFERROR('Raw Cash Flow Data'!G27,0)</f>
        <v>0</v>
      </c>
      <c r="F97" s="12">
        <f>IFERROR('Raw Cash Flow Data'!H27,0)</f>
        <v>0</v>
      </c>
      <c r="G97" s="12">
        <f>IFERROR('Raw Cash Flow Data'!I27,0)</f>
        <v>0</v>
      </c>
      <c r="H97" s="12">
        <f>IFERROR('Raw Cash Flow Data'!J27,0)</f>
        <v>0</v>
      </c>
      <c r="I97" s="12">
        <f>IFERROR('Raw Cash Flow Data'!K27,0)</f>
        <v>0</v>
      </c>
      <c r="J97" s="12">
        <f>IFERROR('Raw Cash Flow Data'!L27,0)</f>
        <v>0</v>
      </c>
      <c r="K97" s="12">
        <f>IFERROR('Raw Cash Flow Data'!M27,0)</f>
        <v>0</v>
      </c>
      <c r="L97" s="12">
        <f>IFERROR('Raw Cash Flow Data'!N27,0)</f>
        <v>0</v>
      </c>
    </row>
    <row r="98" spans="2:12" x14ac:dyDescent="0.35">
      <c r="B98" s="8" t="s">
        <v>105</v>
      </c>
      <c r="C98" s="12">
        <f>IFERROR('Raw Cash Flow Data'!E28,0)</f>
        <v>177</v>
      </c>
      <c r="D98" s="12">
        <f>IFERROR('Raw Cash Flow Data'!F28,0)</f>
        <v>460</v>
      </c>
      <c r="E98" s="12">
        <f>IFERROR('Raw Cash Flow Data'!G28,0)</f>
        <v>0</v>
      </c>
      <c r="F98" s="12">
        <f>IFERROR('Raw Cash Flow Data'!H28,0)</f>
        <v>99</v>
      </c>
      <c r="G98" s="12">
        <f>IFERROR('Raw Cash Flow Data'!I28,0)</f>
        <v>0</v>
      </c>
      <c r="H98" s="12">
        <f>IFERROR('Raw Cash Flow Data'!J28,0)</f>
        <v>188</v>
      </c>
      <c r="I98" s="12">
        <f>IFERROR('Raw Cash Flow Data'!K28,0)</f>
        <v>55</v>
      </c>
      <c r="J98" s="12">
        <f>IFERROR('Raw Cash Flow Data'!L28,0)</f>
        <v>286</v>
      </c>
      <c r="K98" s="12">
        <f>IFERROR('Raw Cash Flow Data'!M28,0)</f>
        <v>0</v>
      </c>
      <c r="L98" s="12">
        <f>IFERROR('Raw Cash Flow Data'!N28,0)</f>
        <v>0</v>
      </c>
    </row>
    <row r="99" spans="2:12" x14ac:dyDescent="0.35">
      <c r="B99" s="8" t="s">
        <v>106</v>
      </c>
      <c r="C99" s="12">
        <f>IFERROR('Raw Cash Flow Data'!E29,0)</f>
        <v>0</v>
      </c>
      <c r="D99" s="12">
        <f>IFERROR('Raw Cash Flow Data'!F29,0)</f>
        <v>-360</v>
      </c>
      <c r="E99" s="12">
        <f>IFERROR('Raw Cash Flow Data'!G29,0)</f>
        <v>-277</v>
      </c>
      <c r="F99" s="12">
        <f>IFERROR('Raw Cash Flow Data'!H29,0)</f>
        <v>0</v>
      </c>
      <c r="G99" s="12">
        <f>IFERROR('Raw Cash Flow Data'!I29,0)</f>
        <v>-99</v>
      </c>
      <c r="H99" s="12">
        <f>IFERROR('Raw Cash Flow Data'!J29,0)</f>
        <v>-188</v>
      </c>
      <c r="I99" s="12">
        <f>IFERROR('Raw Cash Flow Data'!K29,0)</f>
        <v>-55</v>
      </c>
      <c r="J99" s="12">
        <f>IFERROR('Raw Cash Flow Data'!L29,0)</f>
        <v>-208</v>
      </c>
      <c r="K99" s="12">
        <f>IFERROR('Raw Cash Flow Data'!M29,0)</f>
        <v>-85</v>
      </c>
      <c r="L99" s="12">
        <f>IFERROR('Raw Cash Flow Data'!N29,0)</f>
        <v>0</v>
      </c>
    </row>
    <row r="100" spans="2:12" x14ac:dyDescent="0.35">
      <c r="B100" s="8" t="s">
        <v>107</v>
      </c>
      <c r="C100" s="12">
        <f>IFERROR('Raw Cash Flow Data'!E30,0)</f>
        <v>-2</v>
      </c>
      <c r="D100" s="12">
        <f>IFERROR('Raw Cash Flow Data'!F30,0)</f>
        <v>-14</v>
      </c>
      <c r="E100" s="12">
        <f>IFERROR('Raw Cash Flow Data'!G30,0)</f>
        <v>-6</v>
      </c>
      <c r="F100" s="12">
        <f>IFERROR('Raw Cash Flow Data'!H30,0)</f>
        <v>-7</v>
      </c>
      <c r="G100" s="12">
        <f>IFERROR('Raw Cash Flow Data'!I30,0)</f>
        <v>-90</v>
      </c>
      <c r="H100" s="12">
        <f>IFERROR('Raw Cash Flow Data'!J30,0)</f>
        <v>-92</v>
      </c>
      <c r="I100" s="12">
        <f>IFERROR('Raw Cash Flow Data'!K30,0)</f>
        <v>-82</v>
      </c>
      <c r="J100" s="12">
        <f>IFERROR('Raw Cash Flow Data'!L30,0)</f>
        <v>-88</v>
      </c>
      <c r="K100" s="12">
        <f>IFERROR('Raw Cash Flow Data'!M30,0)</f>
        <v>-110</v>
      </c>
      <c r="L100" s="12">
        <f>IFERROR('Raw Cash Flow Data'!N30,0)</f>
        <v>-130</v>
      </c>
    </row>
    <row r="101" spans="2:12" x14ac:dyDescent="0.35">
      <c r="B101" s="8" t="s">
        <v>108</v>
      </c>
      <c r="C101" s="12">
        <f>IFERROR('Raw Cash Flow Data'!E31,0)</f>
        <v>-3354</v>
      </c>
      <c r="D101" s="12">
        <f>IFERROR('Raw Cash Flow Data'!F31,0)</f>
        <v>-3572</v>
      </c>
      <c r="E101" s="12">
        <f>IFERROR('Raw Cash Flow Data'!G31,0)</f>
        <v>-3911</v>
      </c>
      <c r="F101" s="12">
        <f>IFERROR('Raw Cash Flow Data'!H31,0)</f>
        <v>-4554</v>
      </c>
      <c r="G101" s="12">
        <f>IFERROR('Raw Cash Flow Data'!I31,0)</f>
        <v>-5196</v>
      </c>
      <c r="H101" s="12">
        <f>IFERROR('Raw Cash Flow Data'!J31,0)</f>
        <v>-8811</v>
      </c>
      <c r="I101" s="12">
        <f>IFERROR('Raw Cash Flow Data'!K31,0)</f>
        <v>-7526</v>
      </c>
      <c r="J101" s="12">
        <f>IFERROR('Raw Cash Flow Data'!L31,0)</f>
        <v>-8474</v>
      </c>
      <c r="K101" s="12">
        <f>IFERROR('Raw Cash Flow Data'!M31,0)</f>
        <v>-9416</v>
      </c>
      <c r="L101" s="12">
        <f>IFERROR('Raw Cash Flow Data'!N31,0)</f>
        <v>-12473</v>
      </c>
    </row>
    <row r="102" spans="2:12" x14ac:dyDescent="0.35">
      <c r="B102" s="8" t="s">
        <v>109</v>
      </c>
      <c r="C102" s="12">
        <f>IFERROR('Raw Cash Flow Data'!E32,0)</f>
        <v>0</v>
      </c>
      <c r="D102" s="12">
        <f>IFERROR('Raw Cash Flow Data'!F32,0)</f>
        <v>0</v>
      </c>
      <c r="E102" s="12">
        <f>IFERROR('Raw Cash Flow Data'!G32,0)</f>
        <v>0</v>
      </c>
      <c r="F102" s="12">
        <f>IFERROR('Raw Cash Flow Data'!H32,0)</f>
        <v>0</v>
      </c>
      <c r="G102" s="12">
        <f>IFERROR('Raw Cash Flow Data'!I32,0)</f>
        <v>-373</v>
      </c>
      <c r="H102" s="12">
        <f>IFERROR('Raw Cash Flow Data'!J32,0)</f>
        <v>-406</v>
      </c>
      <c r="I102" s="12">
        <f>IFERROR('Raw Cash Flow Data'!K32,0)</f>
        <v>-407</v>
      </c>
      <c r="J102" s="12">
        <f>IFERROR('Raw Cash Flow Data'!L32,0)</f>
        <v>-467</v>
      </c>
      <c r="K102" s="12">
        <f>IFERROR('Raw Cash Flow Data'!M32,0)</f>
        <v>-423</v>
      </c>
      <c r="L102" s="12">
        <f>IFERROR('Raw Cash Flow Data'!N32,0)</f>
        <v>-996</v>
      </c>
    </row>
    <row r="103" spans="2:12" x14ac:dyDescent="0.35">
      <c r="B103" s="8" t="s">
        <v>110</v>
      </c>
      <c r="C103" s="12">
        <f>IFERROR('Raw Cash Flow Data'!E33,0)</f>
        <v>-685</v>
      </c>
      <c r="D103" s="12">
        <f>IFERROR('Raw Cash Flow Data'!F33,0)</f>
        <v>-728</v>
      </c>
      <c r="E103" s="12">
        <f>IFERROR('Raw Cash Flow Data'!G33,0)</f>
        <v>-781</v>
      </c>
      <c r="F103" s="12">
        <f>IFERROR('Raw Cash Flow Data'!H33,0)</f>
        <v>-928</v>
      </c>
      <c r="G103" s="12">
        <f>IFERROR('Raw Cash Flow Data'!I33,0)</f>
        <v>-1061</v>
      </c>
      <c r="H103" s="12">
        <f>IFERROR('Raw Cash Flow Data'!J33,0)</f>
        <v>0</v>
      </c>
      <c r="I103" s="12">
        <f>IFERROR('Raw Cash Flow Data'!K33,0)</f>
        <v>0</v>
      </c>
      <c r="J103" s="12">
        <f>IFERROR('Raw Cash Flow Data'!L33,0)</f>
        <v>-2</v>
      </c>
      <c r="K103" s="12">
        <f>IFERROR('Raw Cash Flow Data'!M33,0)</f>
        <v>0</v>
      </c>
      <c r="L103" s="12">
        <f>IFERROR('Raw Cash Flow Data'!N33,0)</f>
        <v>498</v>
      </c>
    </row>
    <row r="104" spans="2:12" x14ac:dyDescent="0.35">
      <c r="B104" s="20" t="s">
        <v>49</v>
      </c>
      <c r="C104" s="21">
        <f t="shared" ref="C104:L104" si="24">IFERROR(SUM(C97:C103),0)</f>
        <v>-3864</v>
      </c>
      <c r="D104" s="21">
        <f t="shared" si="24"/>
        <v>-4214</v>
      </c>
      <c r="E104" s="21">
        <f t="shared" si="24"/>
        <v>-4975</v>
      </c>
      <c r="F104" s="21">
        <f t="shared" si="24"/>
        <v>-5390</v>
      </c>
      <c r="G104" s="21">
        <f t="shared" si="24"/>
        <v>-6819</v>
      </c>
      <c r="H104" s="21">
        <f t="shared" si="24"/>
        <v>-9309</v>
      </c>
      <c r="I104" s="21">
        <f t="shared" si="24"/>
        <v>-8015</v>
      </c>
      <c r="J104" s="21">
        <f t="shared" si="24"/>
        <v>-8953</v>
      </c>
      <c r="K104" s="21">
        <f t="shared" si="24"/>
        <v>-10034</v>
      </c>
      <c r="L104" s="21">
        <f t="shared" si="24"/>
        <v>-13101</v>
      </c>
    </row>
    <row r="106" spans="2:12" ht="15" thickBot="1" x14ac:dyDescent="0.4">
      <c r="B106" s="23" t="s">
        <v>120</v>
      </c>
      <c r="C106" s="24">
        <f t="shared" ref="C106:L106" si="25">IFERROR(SUM(C80,C94,C104),0)</f>
        <v>-56</v>
      </c>
      <c r="D106" s="24">
        <f t="shared" si="25"/>
        <v>410</v>
      </c>
      <c r="E106" s="24">
        <f t="shared" si="25"/>
        <v>857</v>
      </c>
      <c r="F106" s="24">
        <f t="shared" si="25"/>
        <v>-370</v>
      </c>
      <c r="G106" s="24">
        <f t="shared" si="25"/>
        <v>3006</v>
      </c>
      <c r="H106" s="24">
        <f t="shared" si="25"/>
        <v>-1475</v>
      </c>
      <c r="I106" s="24">
        <f t="shared" si="25"/>
        <v>-1695</v>
      </c>
      <c r="J106" s="24">
        <f t="shared" si="25"/>
        <v>-1406</v>
      </c>
      <c r="K106" s="24">
        <f t="shared" si="25"/>
        <v>1424</v>
      </c>
      <c r="L106" s="24">
        <f t="shared" si="25"/>
        <v>4470</v>
      </c>
    </row>
  </sheetData>
  <mergeCells count="1">
    <mergeCell ref="B2:M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41"/>
  <sheetViews>
    <sheetView workbookViewId="0">
      <pane xSplit="1" ySplit="3" topLeftCell="B24" activePane="bottomRight" state="frozen"/>
      <selection pane="topRight" activeCell="B1" sqref="B1"/>
      <selection pane="bottomLeft" activeCell="A4" sqref="A4"/>
      <selection pane="bottomRight" activeCell="K43" sqref="K43"/>
    </sheetView>
  </sheetViews>
  <sheetFormatPr defaultRowHeight="14.5" x14ac:dyDescent="0.35"/>
  <cols>
    <col min="1" max="1" width="1.90625" style="8" customWidth="1"/>
    <col min="2" max="2" width="24" style="8" customWidth="1"/>
    <col min="3" max="12" width="9.6328125" style="8" customWidth="1"/>
    <col min="13" max="13" width="16" style="8" customWidth="1"/>
    <col min="14" max="16384" width="8.7265625" style="8"/>
  </cols>
  <sheetData>
    <row r="2" spans="2:15" x14ac:dyDescent="0.35">
      <c r="B2" s="142" t="str">
        <f>"Ratio analysis - "&amp;'Data Sheet'!B1</f>
        <v>Ratio analysis - HINDUSTAN UNILEVER LTD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</row>
    <row r="3" spans="2:15" x14ac:dyDescent="0.35">
      <c r="B3" s="9" t="s">
        <v>54</v>
      </c>
      <c r="C3" s="10">
        <f>'Data Sheet'!B16</f>
        <v>42460</v>
      </c>
      <c r="D3" s="10">
        <f>'Data Sheet'!C16</f>
        <v>42825</v>
      </c>
      <c r="E3" s="10">
        <f>'Data Sheet'!D16</f>
        <v>43190</v>
      </c>
      <c r="F3" s="10">
        <f>'Data Sheet'!E16</f>
        <v>43555</v>
      </c>
      <c r="G3" s="10">
        <f>'Data Sheet'!F16</f>
        <v>43921</v>
      </c>
      <c r="H3" s="10">
        <f>'Data Sheet'!G16</f>
        <v>44286</v>
      </c>
      <c r="I3" s="10">
        <f>'Data Sheet'!H16</f>
        <v>44651</v>
      </c>
      <c r="J3" s="10">
        <f>'Data Sheet'!I16</f>
        <v>45016</v>
      </c>
      <c r="K3" s="10">
        <f>'Data Sheet'!J16</f>
        <v>45382</v>
      </c>
      <c r="L3" s="10">
        <f>'Data Sheet'!K16</f>
        <v>45747</v>
      </c>
      <c r="N3" s="27" t="s">
        <v>152</v>
      </c>
      <c r="O3" s="27" t="s">
        <v>153</v>
      </c>
    </row>
    <row r="5" spans="2:15" x14ac:dyDescent="0.35">
      <c r="B5" s="28" t="s">
        <v>59</v>
      </c>
      <c r="C5" s="105" t="s">
        <v>58</v>
      </c>
      <c r="D5" s="29">
        <f>IFERROR(HistoricalFS!D6,0)</f>
        <v>3.03237432424035E-2</v>
      </c>
      <c r="E5" s="29">
        <f>IFERROR(HistoricalFS!E6,0)</f>
        <v>7.1859357095470644E-2</v>
      </c>
      <c r="F5" s="29">
        <f>IFERROR(HistoricalFS!F6,0)</f>
        <v>0.1059220706147137</v>
      </c>
      <c r="G5" s="29">
        <f>IFERROR(HistoricalFS!G6,0)</f>
        <v>1.2032561689137689E-2</v>
      </c>
      <c r="H5" s="29">
        <f>IFERROR(HistoricalFS!H6,0)</f>
        <v>0.18211296282331646</v>
      </c>
      <c r="I5" s="29">
        <f>IFERROR(HistoricalFS!I6,0)</f>
        <v>0.11520796121459553</v>
      </c>
      <c r="J5" s="29">
        <f>IFERROR(HistoricalFS!J6,0)</f>
        <v>0.15509285741524614</v>
      </c>
      <c r="K5" s="29">
        <f>IFERROR(HistoricalFS!K6,0)</f>
        <v>2.1723341036645749E-2</v>
      </c>
      <c r="L5" s="29">
        <f>IFERROR(HistoricalFS!L6,0)</f>
        <v>1.9791262763344974E-2</v>
      </c>
      <c r="M5" s="28"/>
      <c r="N5" s="29">
        <f>IFERROR(AVERAGE(D5:L5),0)</f>
        <v>7.9340679766097155E-2</v>
      </c>
      <c r="O5" s="29">
        <f>IFERROR(MEDIAN(D5:L5),0)</f>
        <v>7.1859357095470644E-2</v>
      </c>
    </row>
    <row r="6" spans="2:15" x14ac:dyDescent="0.35">
      <c r="B6" s="30" t="s">
        <v>121</v>
      </c>
      <c r="C6" s="106" t="s">
        <v>58</v>
      </c>
      <c r="D6" s="31">
        <f>IFERROR(HistoricalFS!D16/HistoricalFS!C16-1,0)</f>
        <v>7.0727580372250465E-2</v>
      </c>
      <c r="E6" s="31">
        <f>IFERROR(HistoricalFS!E16/HistoricalFS!D16-1,0)</f>
        <v>0.1850505689001265</v>
      </c>
      <c r="F6" s="31">
        <f>IFERROR(HistoricalFS!F16/HistoricalFS!E16-1,0)</f>
        <v>0.1841578877183625</v>
      </c>
      <c r="G6" s="31">
        <f>IFERROR(HistoricalFS!G16/HistoricalFS!F16-1,0)</f>
        <v>0.11047297297297298</v>
      </c>
      <c r="H6" s="31">
        <f>IFERROR(HistoricalFS!H16/HistoricalFS!G16-1,0)</f>
        <v>0.1789879322583916</v>
      </c>
      <c r="I6" s="31">
        <f>IFERROR(HistoricalFS!I16/HistoricalFS!H16-1,0)</f>
        <v>0.10588336487183891</v>
      </c>
      <c r="J6" s="31">
        <f>IFERROR(HistoricalFS!J16/HistoricalFS!I16-1,0)</f>
        <v>0.10033444816053505</v>
      </c>
      <c r="K6" s="31">
        <f>IFERROR(HistoricalFS!K16/HistoricalFS!J16-1,0)</f>
        <v>3.6191418675337594E-2</v>
      </c>
      <c r="L6" s="31">
        <f>IFERROR(HistoricalFS!L16/HistoricalFS!K16-1,0)</f>
        <v>1.255201582645471E-2</v>
      </c>
      <c r="M6" s="30"/>
      <c r="N6" s="31">
        <f t="shared" ref="N6:N9" si="0">IFERROR(AVERAGE(D6:L6),0)</f>
        <v>0.10937313219514115</v>
      </c>
      <c r="O6" s="31">
        <f t="shared" ref="O6:O9" si="1">IFERROR(MEDIAN(D6:L6),0)</f>
        <v>0.10588336487183891</v>
      </c>
    </row>
    <row r="7" spans="2:15" x14ac:dyDescent="0.35">
      <c r="B7" s="30" t="s">
        <v>124</v>
      </c>
      <c r="C7" s="106" t="s">
        <v>58</v>
      </c>
      <c r="D7" s="31">
        <f>IFERROR(HistoricalFS!D25/HistoricalFS!C25-1,0)</f>
        <v>5.794223826714795E-2</v>
      </c>
      <c r="E7" s="31">
        <f>IFERROR(HistoricalFS!E25/HistoricalFS!D25-1,0)</f>
        <v>0.18631632827162603</v>
      </c>
      <c r="F7" s="31">
        <f>IFERROR(HistoricalFS!F25/HistoricalFS!E25-1,0)</f>
        <v>0.19114051488566086</v>
      </c>
      <c r="G7" s="31">
        <f>IFERROR(HistoricalFS!G25/HistoricalFS!F25-1,0)</f>
        <v>5.5421395798116446E-2</v>
      </c>
      <c r="H7" s="31">
        <f>IFERROR(HistoricalFS!H25/HistoricalFS!G25-1,0)</f>
        <v>0.19379933646035918</v>
      </c>
      <c r="I7" s="31">
        <f>IFERROR(HistoricalFS!I25/HistoricalFS!H25-1,0)</f>
        <v>0.11739338763775753</v>
      </c>
      <c r="J7" s="31">
        <f>IFERROR(HistoricalFS!J25/HistoricalFS!I25-1,0)</f>
        <v>0.10600343053173233</v>
      </c>
      <c r="K7" s="31">
        <f>IFERROR(HistoricalFS!K25/HistoricalFS!J25-1,0)</f>
        <v>1.6516749379652529E-2</v>
      </c>
      <c r="L7" s="31">
        <f>IFERROR(HistoricalFS!L25/HistoricalFS!K25-1,0)</f>
        <v>-1.2205355099550452E-3</v>
      </c>
      <c r="M7" s="30"/>
      <c r="N7" s="31">
        <f t="shared" si="0"/>
        <v>0.10259031619134421</v>
      </c>
      <c r="O7" s="31">
        <f t="shared" si="1"/>
        <v>0.10600343053173233</v>
      </c>
    </row>
    <row r="8" spans="2:15" x14ac:dyDescent="0.35">
      <c r="B8" s="30" t="s">
        <v>122</v>
      </c>
      <c r="C8" s="106" t="s">
        <v>58</v>
      </c>
      <c r="D8" s="31">
        <f>IFERROR(HistoricalFS!D31/HistoricalFS!C31-1,0)</f>
        <v>5.9754433833560716E-2</v>
      </c>
      <c r="E8" s="31">
        <f>IFERROR(HistoricalFS!E31/HistoricalFS!D31-1,0)</f>
        <v>0.2548918640576725</v>
      </c>
      <c r="F8" s="31">
        <f>IFERROR(HistoricalFS!F31/HistoricalFS!E31-1,0)</f>
        <v>0.17726713171932706</v>
      </c>
      <c r="G8" s="31">
        <f>IFERROR(HistoricalFS!G31/HistoricalFS!F31-1,0)</f>
        <v>0.10352039037992333</v>
      </c>
      <c r="H8" s="31">
        <f>IFERROR(HistoricalFS!H31/HistoricalFS!G31-1,0)</f>
        <v>0.23641819330385339</v>
      </c>
      <c r="I8" s="31">
        <f>IFERROR(HistoricalFS!I31/HistoricalFS!H31-1,0)</f>
        <v>0.10780431728190054</v>
      </c>
      <c r="J8" s="31">
        <f>IFERROR(HistoricalFS!J31/HistoricalFS!I31-1,0)</f>
        <v>0.11783696529459231</v>
      </c>
      <c r="K8" s="31">
        <f>IFERROR(HistoricalFS!K31/HistoricalFS!J31-1,0)</f>
        <v>-2.372356884992266E-2</v>
      </c>
      <c r="L8" s="31">
        <f>IFERROR(HistoricalFS!L31/HistoricalFS!K31-1,0)</f>
        <v>-1.2255678816693094E-2</v>
      </c>
      <c r="M8" s="30"/>
      <c r="N8" s="31">
        <f t="shared" si="0"/>
        <v>0.11350156091157936</v>
      </c>
      <c r="O8" s="31">
        <f t="shared" si="1"/>
        <v>0.10780431728190054</v>
      </c>
    </row>
    <row r="9" spans="2:15" x14ac:dyDescent="0.35">
      <c r="B9" s="32" t="s">
        <v>123</v>
      </c>
      <c r="C9" s="107" t="s">
        <v>58</v>
      </c>
      <c r="D9" s="33">
        <f>IFERROR(HistoricalFS!D39/HistoricalFS!C39-1,0)</f>
        <v>6.2303631659196945E-2</v>
      </c>
      <c r="E9" s="33">
        <f>IFERROR(HistoricalFS!E39/HistoricalFS!D39-1,0)</f>
        <v>0.17636188224423521</v>
      </c>
      <c r="F9" s="33">
        <f>IFERROR(HistoricalFS!F39/HistoricalFS!E39-1,0)</f>
        <v>9.989836928904694E-2</v>
      </c>
      <c r="G9" s="33">
        <f>IFERROR(HistoricalFS!G39/HistoricalFS!F39-1,0)</f>
        <v>0.13631114358664265</v>
      </c>
      <c r="H9" s="33">
        <f>IFERROR(HistoricalFS!H39/HistoricalFS!G39-1,0)</f>
        <v>0.62387640449438186</v>
      </c>
      <c r="I9" s="33">
        <f>IFERROR(HistoricalFS!I39/HistoricalFS!H39-1,0)</f>
        <v>-0.16049382716049365</v>
      </c>
      <c r="J9" s="33">
        <f>IFERROR(HistoricalFS!J39/HistoricalFS!I39-1,0)</f>
        <v>0.14705882352941169</v>
      </c>
      <c r="K9" s="33">
        <f>IFERROR(HistoricalFS!K39/HistoricalFS!J39-1,0)</f>
        <v>7.6923076923076872E-2</v>
      </c>
      <c r="L9" s="33">
        <f>IFERROR(HistoricalFS!L39/HistoricalFS!K39-1,0)</f>
        <v>0.26190476190476186</v>
      </c>
      <c r="M9" s="32"/>
      <c r="N9" s="33">
        <f t="shared" si="0"/>
        <v>0.15823825183002893</v>
      </c>
      <c r="O9" s="33">
        <f t="shared" si="1"/>
        <v>0.13631114358664265</v>
      </c>
    </row>
    <row r="11" spans="2:15" x14ac:dyDescent="0.35">
      <c r="B11" s="28" t="s">
        <v>125</v>
      </c>
      <c r="C11" s="29">
        <f>IFERROR(HistoricalFS!C11,0)</f>
        <v>0.43385322811160132</v>
      </c>
      <c r="D11" s="29">
        <f>IFERROR(HistoricalFS!D11,0)</f>
        <v>0.43685543694590195</v>
      </c>
      <c r="E11" s="29">
        <f>IFERROR(HistoricalFS!E11,0)</f>
        <v>0.45663243775495849</v>
      </c>
      <c r="F11" s="29">
        <f>IFERROR(HistoricalFS!F11,0)</f>
        <v>0.46372424319511574</v>
      </c>
      <c r="G11" s="29">
        <f>IFERROR(HistoricalFS!G11,0)</f>
        <v>0.48183897644722617</v>
      </c>
      <c r="H11" s="29">
        <f>IFERROR(HistoricalFS!H11,0)</f>
        <v>0.46200136089138388</v>
      </c>
      <c r="I11" s="29">
        <f>IFERROR(HistoricalFS!I11,0)</f>
        <v>0.44579186210578498</v>
      </c>
      <c r="J11" s="29">
        <f>IFERROR(HistoricalFS!J11,0)</f>
        <v>0.41596236381644108</v>
      </c>
      <c r="K11" s="29">
        <f>IFERROR(HistoricalFS!K11,0)</f>
        <v>0.45632997285769678</v>
      </c>
      <c r="L11" s="29">
        <f>IFERROR(HistoricalFS!L11,0)</f>
        <v>0.46681769933936407</v>
      </c>
      <c r="M11" s="28"/>
      <c r="N11" s="29">
        <f>IFERROR(AVERAGE(C11:L11),0)</f>
        <v>0.45198075814654742</v>
      </c>
      <c r="O11" s="29">
        <f>IFERROR(MEDIAN(C11:L11),0)</f>
        <v>0.45648120530632763</v>
      </c>
    </row>
    <row r="12" spans="2:15" x14ac:dyDescent="0.35">
      <c r="B12" s="30" t="s">
        <v>127</v>
      </c>
      <c r="C12" s="31">
        <f>IFERROR(HistoricalFS!C17,0)</f>
        <v>0.18362020754365252</v>
      </c>
      <c r="D12" s="31">
        <f>IFERROR(HistoricalFS!D17,0)</f>
        <v>0.1908208190097099</v>
      </c>
      <c r="E12" s="31">
        <f>IFERROR(HistoricalFS!E17,0)</f>
        <v>0.21097200731467156</v>
      </c>
      <c r="F12" s="31">
        <f>IFERROR(HistoricalFS!F17,0)</f>
        <v>0.2258967183922666</v>
      </c>
      <c r="G12" s="31">
        <f>IFERROR(HistoricalFS!G17,0)</f>
        <v>0.24786969308498605</v>
      </c>
      <c r="H12" s="31">
        <f>IFERROR(HistoricalFS!H17,0)</f>
        <v>0.24721442544866887</v>
      </c>
      <c r="I12" s="31">
        <f>IFERROR(HistoricalFS!I17,0)</f>
        <v>0.24514738969606834</v>
      </c>
      <c r="J12" s="31">
        <f>IFERROR(HistoricalFS!J17,0)</f>
        <v>0.23352591614394189</v>
      </c>
      <c r="K12" s="31">
        <f>IFERROR(HistoricalFS!K17,0)</f>
        <v>0.23683275171255008</v>
      </c>
      <c r="L12" s="31">
        <f>IFERROR(HistoricalFS!L17,0)</f>
        <v>0.23515153435465216</v>
      </c>
      <c r="M12" s="30"/>
      <c r="N12" s="31">
        <f t="shared" ref="N12:N31" si="2">IFERROR(AVERAGE(C12:L12),0)</f>
        <v>0.22570514627011679</v>
      </c>
      <c r="O12" s="31">
        <f t="shared" ref="O12:O41" si="3">IFERROR(MEDIAN(C12:L12),0)</f>
        <v>0.23433872524929703</v>
      </c>
    </row>
    <row r="13" spans="2:15" x14ac:dyDescent="0.35">
      <c r="B13" s="30" t="s">
        <v>129</v>
      </c>
      <c r="C13" s="31">
        <f>IFERROR((HistoricalFS!C25+HistoricalFS!C19)/HistoricalFS!C5,0)</f>
        <v>0.17265270614552911</v>
      </c>
      <c r="D13" s="31">
        <f>IFERROR((HistoricalFS!D25+HistoricalFS!D19)/HistoricalFS!D5,0)</f>
        <v>0.17779386044267534</v>
      </c>
      <c r="E13" s="31">
        <f>IFERROR((HistoricalFS!E25+HistoricalFS!E19)/HistoricalFS!E5,0)</f>
        <v>0.19634266422844282</v>
      </c>
      <c r="F13" s="31">
        <f>IFERROR((HistoricalFS!F25+HistoricalFS!F19)/HistoricalFS!F5,0)</f>
        <v>0.21152378529636226</v>
      </c>
      <c r="G13" s="31">
        <f>IFERROR((HistoricalFS!G25+HistoricalFS!G19)/HistoricalFS!G5,0)</f>
        <v>0.22268305557650253</v>
      </c>
      <c r="H13" s="31">
        <f>IFERROR((HistoricalFS!H25+HistoricalFS!H19)/HistoricalFS!H5,0)</f>
        <v>0.22437696691332823</v>
      </c>
      <c r="I13" s="31">
        <f>IFERROR((HistoricalFS!I25+HistoricalFS!I19)/HistoricalFS!I5,0)</f>
        <v>0.22434504061320215</v>
      </c>
      <c r="J13" s="31">
        <f>IFERROR((HistoricalFS!J25+HistoricalFS!J19)/HistoricalFS!J5,0)</f>
        <v>0.21475734565863322</v>
      </c>
      <c r="K13" s="31">
        <f>IFERROR((HistoricalFS!K25+HistoricalFS!K19)/HistoricalFS!K5,0)</f>
        <v>0.21718689414501746</v>
      </c>
      <c r="L13" s="31">
        <f>IFERROR((HistoricalFS!L25+HistoricalFS!L19)/HistoricalFS!L5,0)</f>
        <v>0.21368482755342913</v>
      </c>
      <c r="M13" s="30"/>
      <c r="N13" s="31">
        <f t="shared" si="2"/>
        <v>0.20753471465731224</v>
      </c>
      <c r="O13" s="31">
        <f t="shared" si="3"/>
        <v>0.21422108660603117</v>
      </c>
    </row>
    <row r="14" spans="2:15" x14ac:dyDescent="0.35">
      <c r="B14" s="30" t="s">
        <v>128</v>
      </c>
      <c r="C14" s="31">
        <f>IFERROR(HistoricalFS!C26,0)</f>
        <v>0.17212452619151183</v>
      </c>
      <c r="D14" s="31">
        <f>IFERROR(HistoricalFS!D26,0)</f>
        <v>0.17673843555877208</v>
      </c>
      <c r="E14" s="31">
        <f>IFERROR(HistoricalFS!E26,0)</f>
        <v>0.19561119707413138</v>
      </c>
      <c r="F14" s="31">
        <f>IFERROR(HistoricalFS!F26,0)</f>
        <v>0.21068430424828288</v>
      </c>
      <c r="G14" s="31">
        <f>IFERROR(HistoricalFS!G26,0)</f>
        <v>0.21971696453258929</v>
      </c>
      <c r="H14" s="31">
        <f>IFERROR(HistoricalFS!H26,0)</f>
        <v>0.22188908735221571</v>
      </c>
      <c r="I14" s="31">
        <f>IFERROR(HistoricalFS!I26,0)</f>
        <v>0.22232391412119132</v>
      </c>
      <c r="J14" s="31">
        <f>IFERROR(HistoricalFS!J26,0)</f>
        <v>0.21287553648068669</v>
      </c>
      <c r="K14" s="31">
        <f>IFERROR(HistoricalFS!K26,0)</f>
        <v>0.2117907457670932</v>
      </c>
      <c r="L14" s="31">
        <f>IFERROR(HistoricalFS!L26,0)</f>
        <v>0.20742700527558183</v>
      </c>
      <c r="M14" s="30"/>
      <c r="N14" s="31">
        <f t="shared" si="2"/>
        <v>0.2051181716602056</v>
      </c>
      <c r="O14" s="31">
        <f t="shared" si="3"/>
        <v>0.21123752500768805</v>
      </c>
    </row>
    <row r="15" spans="2:15" x14ac:dyDescent="0.35">
      <c r="B15" s="32" t="s">
        <v>130</v>
      </c>
      <c r="C15" s="33">
        <f>IFERROR(HistoricalFS!C32,0)</f>
        <v>0.11386938420431243</v>
      </c>
      <c r="D15" s="33">
        <f>IFERROR(HistoricalFS!D32,0)</f>
        <v>0.11712200711657922</v>
      </c>
      <c r="E15" s="33">
        <f>IFERROR(HistoricalFS!E32,0)</f>
        <v>0.1371219580813054</v>
      </c>
      <c r="F15" s="33">
        <f>IFERROR(HistoricalFS!F32,0)</f>
        <v>0.14596794708725516</v>
      </c>
      <c r="G15" s="33">
        <f>IFERROR(HistoricalFS!G32,0)</f>
        <v>0.15916346178015736</v>
      </c>
      <c r="H15" s="33">
        <f>IFERROR(HistoricalFS!H32,0)</f>
        <v>0.16647529131581185</v>
      </c>
      <c r="I15" s="33">
        <f>IFERROR(HistoricalFS!I32,0)</f>
        <v>0.16537009495481067</v>
      </c>
      <c r="J15" s="33">
        <f>IFERROR(HistoricalFS!J32,0)</f>
        <v>0.16003631561571477</v>
      </c>
      <c r="K15" s="33">
        <f>IFERROR(HistoricalFS!K32,0)</f>
        <v>0.15291779759596744</v>
      </c>
      <c r="L15" s="33">
        <f>IFERROR(HistoricalFS!L32,0)</f>
        <v>0.14811235563441644</v>
      </c>
      <c r="M15" s="32"/>
      <c r="N15" s="33">
        <f t="shared" si="2"/>
        <v>0.14661566133863307</v>
      </c>
      <c r="O15" s="33">
        <f t="shared" si="3"/>
        <v>0.15051507661519192</v>
      </c>
    </row>
    <row r="17" spans="2:15" x14ac:dyDescent="0.35">
      <c r="B17" s="28" t="s">
        <v>131</v>
      </c>
      <c r="C17" s="29">
        <f>IFERROR(HistoricalFS!C14,0)</f>
        <v>0.25023302056794877</v>
      </c>
      <c r="D17" s="29">
        <f>IFERROR(HistoricalFS!D14,0)</f>
        <v>0.24603461793619202</v>
      </c>
      <c r="E17" s="29">
        <f>IFERROR(HistoricalFS!E14,0)</f>
        <v>0.24566043044028696</v>
      </c>
      <c r="F17" s="29">
        <f>IFERROR(HistoricalFS!F14,0)</f>
        <v>0.23782752480284916</v>
      </c>
      <c r="G17" s="29">
        <f>IFERROR(HistoricalFS!G14,0)</f>
        <v>0.23396928336224015</v>
      </c>
      <c r="H17" s="29">
        <f>IFERROR(HistoricalFS!H14,0)</f>
        <v>0.21478693544271499</v>
      </c>
      <c r="I17" s="29">
        <f>IFERROR(HistoricalFS!I14,0)</f>
        <v>0.20064447240971667</v>
      </c>
      <c r="J17" s="29">
        <f>IFERROR(HistoricalFS!J14,0)</f>
        <v>0.18243644767249917</v>
      </c>
      <c r="K17" s="29">
        <f>IFERROR(HistoricalFS!K14,0)</f>
        <v>0.21949722114514669</v>
      </c>
      <c r="L17" s="29">
        <f>IFERROR(HistoricalFS!L14,0)</f>
        <v>0.2316661649847119</v>
      </c>
      <c r="M17" s="28"/>
      <c r="N17" s="29">
        <f t="shared" si="2"/>
        <v>0.22627561187643064</v>
      </c>
      <c r="O17" s="29">
        <f t="shared" si="3"/>
        <v>0.23281772417347602</v>
      </c>
    </row>
    <row r="18" spans="2:15" x14ac:dyDescent="0.35">
      <c r="B18" s="30" t="s">
        <v>132</v>
      </c>
      <c r="C18" s="31">
        <f>IFERROR(HistoricalFS!C23,0)</f>
        <v>1.0967501398123409E-2</v>
      </c>
      <c r="D18" s="31">
        <f>IFERROR(HistoricalFS!D23,0)</f>
        <v>1.3026958567034558E-2</v>
      </c>
      <c r="E18" s="31">
        <f>IFERROR(HistoricalFS!E23,0)</f>
        <v>1.4629343086228723E-2</v>
      </c>
      <c r="F18" s="31">
        <f>IFERROR(HistoricalFS!F23,0)</f>
        <v>1.437293309590435E-2</v>
      </c>
      <c r="G18" s="31">
        <f>IFERROR(HistoricalFS!G23,0)</f>
        <v>2.5186637508483524E-2</v>
      </c>
      <c r="H18" s="31">
        <f>IFERROR(HistoricalFS!H23,0)</f>
        <v>2.2837458535340648E-2</v>
      </c>
      <c r="I18" s="31">
        <f>IFERROR(HistoricalFS!I23,0)</f>
        <v>2.0802349082866187E-2</v>
      </c>
      <c r="J18" s="31">
        <f>IFERROR(HistoricalFS!J23,0)</f>
        <v>1.8768570485308684E-2</v>
      </c>
      <c r="K18" s="31">
        <f>IFERROR(HistoricalFS!K23,0)</f>
        <v>1.9645857567532635E-2</v>
      </c>
      <c r="L18" s="31">
        <f>IFERROR(HistoricalFS!L23,0)</f>
        <v>2.1466706801223048E-2</v>
      </c>
      <c r="M18" s="30"/>
      <c r="N18" s="31">
        <f t="shared" si="2"/>
        <v>1.8170431612804579E-2</v>
      </c>
      <c r="O18" s="31">
        <f t="shared" si="3"/>
        <v>1.9207214026420658E-2</v>
      </c>
    </row>
    <row r="19" spans="2:15" x14ac:dyDescent="0.35">
      <c r="B19" s="32" t="s">
        <v>133</v>
      </c>
      <c r="C19" s="34">
        <f>C13</f>
        <v>0.17265270614552911</v>
      </c>
      <c r="D19" s="34">
        <f t="shared" ref="D19:L19" si="4">D13</f>
        <v>0.17779386044267534</v>
      </c>
      <c r="E19" s="34">
        <f t="shared" si="4"/>
        <v>0.19634266422844282</v>
      </c>
      <c r="F19" s="34">
        <f t="shared" si="4"/>
        <v>0.21152378529636226</v>
      </c>
      <c r="G19" s="34">
        <f t="shared" si="4"/>
        <v>0.22268305557650253</v>
      </c>
      <c r="H19" s="34">
        <f t="shared" si="4"/>
        <v>0.22437696691332823</v>
      </c>
      <c r="I19" s="34">
        <f t="shared" si="4"/>
        <v>0.22434504061320215</v>
      </c>
      <c r="J19" s="34">
        <f t="shared" si="4"/>
        <v>0.21475734565863322</v>
      </c>
      <c r="K19" s="34">
        <f t="shared" si="4"/>
        <v>0.21718689414501746</v>
      </c>
      <c r="L19" s="34">
        <f t="shared" si="4"/>
        <v>0.21368482755342913</v>
      </c>
      <c r="M19" s="32"/>
      <c r="N19" s="33">
        <f t="shared" si="2"/>
        <v>0.20753471465731224</v>
      </c>
      <c r="O19" s="33">
        <f t="shared" si="3"/>
        <v>0.21422108660603117</v>
      </c>
    </row>
    <row r="20" spans="2:15" x14ac:dyDescent="0.35">
      <c r="O20" s="14"/>
    </row>
    <row r="21" spans="2:15" x14ac:dyDescent="0.35">
      <c r="B21" s="28" t="s">
        <v>134</v>
      </c>
      <c r="C21" s="35">
        <f>IFERROR((HistoricalFS!C16-HistoricalFS!C22)/SUM(HistoricalFS!C46:C48),0)</f>
        <v>0.82325925925925925</v>
      </c>
      <c r="D21" s="35">
        <f>IFERROR((HistoricalFS!D16-HistoricalFS!D22)/SUM(HistoricalFS!D46:D48),0)</f>
        <v>0.83976641504059246</v>
      </c>
      <c r="E21" s="35">
        <f>IFERROR((HistoricalFS!E16-HistoricalFS!E22)/SUM(HistoricalFS!E46:E48),0)</f>
        <v>0.95852218101909081</v>
      </c>
      <c r="F21" s="35">
        <f>IFERROR((HistoricalFS!F16-HistoricalFS!F22)/SUM(HistoricalFS!F46:F48),0)</f>
        <v>1.0438111975897564</v>
      </c>
      <c r="G21" s="35">
        <f>IFERROR((HistoricalFS!G16-HistoricalFS!G22)/SUM(HistoricalFS!G46:G48),0)</f>
        <v>1.0765585125774699</v>
      </c>
      <c r="H21" s="35">
        <f>IFERROR((HistoricalFS!H16-HistoricalFS!H22)/SUM(HistoricalFS!H46:H48),0)</f>
        <v>0.22133657758946176</v>
      </c>
      <c r="I21" s="35">
        <f>IFERROR((HistoricalFS!I16-HistoricalFS!I22)/SUM(HistoricalFS!I46:I48),0)</f>
        <v>0.23483155037521955</v>
      </c>
      <c r="J21" s="35">
        <f>IFERROR((HistoricalFS!J16-HistoricalFS!J22)/SUM(HistoricalFS!J46:J48),0)</f>
        <v>0.25250858839741475</v>
      </c>
      <c r="K21" s="35">
        <f>IFERROR((HistoricalFS!K16-HistoricalFS!K22)/SUM(HistoricalFS!K46:K48),0)</f>
        <v>0.25507570870175705</v>
      </c>
      <c r="L21" s="35">
        <f>IFERROR((HistoricalFS!L16-HistoricalFS!L22)/SUM(HistoricalFS!L46:L48),0)</f>
        <v>0.26421155729676787</v>
      </c>
      <c r="M21" s="28"/>
      <c r="N21" s="29">
        <f t="shared" si="2"/>
        <v>0.59698815478467915</v>
      </c>
      <c r="O21" s="29">
        <f t="shared" si="3"/>
        <v>0.54373540827801348</v>
      </c>
    </row>
    <row r="22" spans="2:15" x14ac:dyDescent="0.35">
      <c r="B22" s="30" t="s">
        <v>135</v>
      </c>
      <c r="C22" s="36">
        <f>IFERROR(HistoricalFS!C42,0)</f>
        <v>5.7025920873124192E-2</v>
      </c>
      <c r="D22" s="36">
        <f>IFERROR(HistoricalFS!D42,0)</f>
        <v>5.4582904222451045E-2</v>
      </c>
      <c r="E22" s="36">
        <f>IFERROR(HistoricalFS!E42,0)</f>
        <v>0.11366434140336479</v>
      </c>
      <c r="F22" s="36">
        <f>IFERROR(HistoricalFS!F42,0)</f>
        <v>0.17183687696061345</v>
      </c>
      <c r="G22" s="36">
        <f>IFERROR(HistoricalFS!G42,0)</f>
        <v>0.14718888186986734</v>
      </c>
      <c r="H22" s="36">
        <f>IFERROR(HistoricalFS!H42,0)</f>
        <v>0</v>
      </c>
      <c r="I22" s="36">
        <f>IFERROR(HistoricalFS!I42,0)</f>
        <v>7.8750144125446675E-2</v>
      </c>
      <c r="J22" s="36">
        <f>IFERROR(HistoricalFS!J42,0)</f>
        <v>5.4667354306343507E-2</v>
      </c>
      <c r="K22" s="36">
        <f>IFERROR(HistoricalFS!K42,0)</f>
        <v>0</v>
      </c>
      <c r="L22" s="36">
        <f>IFERROR(HistoricalFS!L42,0)</f>
        <v>0</v>
      </c>
      <c r="M22" s="30"/>
      <c r="N22" s="31">
        <f t="shared" si="2"/>
        <v>6.77716423761211E-2</v>
      </c>
      <c r="O22" s="31">
        <f t="shared" si="3"/>
        <v>5.584663758973385E-2</v>
      </c>
    </row>
    <row r="23" spans="2:15" x14ac:dyDescent="0.35">
      <c r="B23" s="30" t="s">
        <v>136</v>
      </c>
      <c r="C23" s="36">
        <f>IFERROR(HistoricalFS!C31/SUM(HistoricalFS!C46:C47),0)</f>
        <v>0.55758405598661187</v>
      </c>
      <c r="D23" s="36">
        <f>IFERROR(HistoricalFS!D31/SUM(HistoricalFS!D46:D47),0)</f>
        <v>0.57591933570581255</v>
      </c>
      <c r="E23" s="36">
        <f>IFERROR(HistoricalFS!E31/SUM(HistoricalFS!E46:E47),0)</f>
        <v>0.6694135420958659</v>
      </c>
      <c r="F23" s="36">
        <f>IFERROR(HistoricalFS!F31/SUM(HistoricalFS!F46:F47),0)</f>
        <v>0.72937587390364811</v>
      </c>
      <c r="G23" s="36">
        <f>IFERROR(HistoricalFS!G31/SUM(HistoricalFS!G46:G47),0)</f>
        <v>0.76947381212784061</v>
      </c>
      <c r="H23" s="36">
        <f>IFERROR(HistoricalFS!H31/SUM(HistoricalFS!H46:H47),0)</f>
        <v>0.16421949070772329</v>
      </c>
      <c r="I23" s="36">
        <f>IFERROR(HistoricalFS!I31/SUM(HistoricalFS!I46:I47),0)</f>
        <v>0.1767799270296162</v>
      </c>
      <c r="J23" s="36">
        <f>IFERROR(HistoricalFS!J31/SUM(HistoricalFS!J46:J47),0)</f>
        <v>0.19272821246819338</v>
      </c>
      <c r="K23" s="36">
        <f>IFERROR(HistoricalFS!K31/SUM(HistoricalFS!K46:K47),0)</f>
        <v>0.18479831309305322</v>
      </c>
      <c r="L23" s="36">
        <f>IFERROR(HistoricalFS!L31/SUM(HistoricalFS!L46:L47),0)</f>
        <v>0.18924335047164081</v>
      </c>
      <c r="M23" s="30"/>
      <c r="N23" s="31">
        <f t="shared" si="2"/>
        <v>0.42095359135900062</v>
      </c>
      <c r="O23" s="31">
        <f t="shared" si="3"/>
        <v>0.37515613422740263</v>
      </c>
    </row>
    <row r="24" spans="2:15" x14ac:dyDescent="0.35">
      <c r="B24" s="30" t="s">
        <v>137</v>
      </c>
      <c r="C24" s="36">
        <f>IFERROR(C22*C23,0)</f>
        <v>3.1796744256808181E-2</v>
      </c>
      <c r="D24" s="36">
        <f t="shared" ref="D24:L24" si="5">IFERROR(D22*D23,0)</f>
        <v>3.1435349940687994E-2</v>
      </c>
      <c r="E24" s="36">
        <f t="shared" si="5"/>
        <v>7.6088449388820215E-2</v>
      </c>
      <c r="F24" s="36">
        <f t="shared" si="5"/>
        <v>0.12533367230202108</v>
      </c>
      <c r="G24" s="36">
        <f t="shared" si="5"/>
        <v>0.11325799003524123</v>
      </c>
      <c r="H24" s="36">
        <f t="shared" si="5"/>
        <v>0</v>
      </c>
      <c r="I24" s="36">
        <f t="shared" si="5"/>
        <v>1.3921444732068222E-2</v>
      </c>
      <c r="J24" s="36">
        <f t="shared" si="5"/>
        <v>1.0535941475826979E-2</v>
      </c>
      <c r="K24" s="36">
        <f t="shared" si="5"/>
        <v>0</v>
      </c>
      <c r="L24" s="36">
        <f t="shared" si="5"/>
        <v>0</v>
      </c>
      <c r="M24" s="30"/>
      <c r="N24" s="31">
        <f t="shared" si="2"/>
        <v>4.0236959213147391E-2</v>
      </c>
      <c r="O24" s="31">
        <f t="shared" si="3"/>
        <v>2.2678397336378109E-2</v>
      </c>
    </row>
    <row r="25" spans="2:15" x14ac:dyDescent="0.35">
      <c r="B25" s="32" t="s">
        <v>138</v>
      </c>
      <c r="C25" s="37">
        <f>IFERROR((HistoricalFS!C16-HistoricalFS!C22)/HistoricalFS!C19,0)</f>
        <v>326.88235294117646</v>
      </c>
      <c r="D25" s="37">
        <f>IFERROR((HistoricalFS!D16-HistoricalFS!D22)/HistoricalFS!D19,0)</f>
        <v>168.45714285714286</v>
      </c>
      <c r="E25" s="37">
        <f>IFERROR((HistoricalFS!E16-HistoricalFS!E22)/HistoricalFS!E19,0)</f>
        <v>268.42307692307691</v>
      </c>
      <c r="F25" s="37">
        <f>IFERROR((HistoricalFS!F16-HistoricalFS!F22)/HistoricalFS!F19,0)</f>
        <v>251.96969696969697</v>
      </c>
      <c r="G25" s="37">
        <f>IFERROR((HistoricalFS!G16-HistoricalFS!G22)/HistoricalFS!G19,0)</f>
        <v>75.076271186440678</v>
      </c>
      <c r="H25" s="37">
        <f>IFERROR((HistoricalFS!H16-HistoricalFS!H22)/HistoricalFS!H19,0)</f>
        <v>90.188034188034194</v>
      </c>
      <c r="I25" s="37">
        <f>IFERROR((HistoricalFS!I16-HistoricalFS!I22)/HistoricalFS!I19,0)</f>
        <v>111</v>
      </c>
      <c r="J25" s="37">
        <f>IFERROR((HistoricalFS!J16-HistoricalFS!J22)/HistoricalFS!J19,0)</f>
        <v>114.12280701754386</v>
      </c>
      <c r="K25" s="37">
        <f>IFERROR((HistoricalFS!K16-HistoricalFS!K22)/HistoricalFS!K19,0)</f>
        <v>40.248502994011979</v>
      </c>
      <c r="L25" s="37">
        <f>IFERROR((HistoricalFS!L16-HistoricalFS!L22)/HistoricalFS!L19,0)</f>
        <v>34.146835443037972</v>
      </c>
      <c r="M25" s="32"/>
      <c r="N25" s="37">
        <f t="shared" si="2"/>
        <v>148.05147205201621</v>
      </c>
      <c r="O25" s="37">
        <f t="shared" si="3"/>
        <v>112.56140350877193</v>
      </c>
    </row>
    <row r="26" spans="2:15" x14ac:dyDescent="0.35">
      <c r="O26" s="14"/>
    </row>
    <row r="27" spans="2:15" x14ac:dyDescent="0.35">
      <c r="B27" s="28" t="s">
        <v>139</v>
      </c>
      <c r="C27" s="38">
        <f>IFERROR(HistoricalFS!C5/HistoricalFS!C58,0)</f>
        <v>25.463607594936708</v>
      </c>
      <c r="D27" s="38">
        <f>IFERROR(HistoricalFS!D5/HistoricalFS!D58,0)</f>
        <v>30.56405529953917</v>
      </c>
      <c r="E27" s="38">
        <f>IFERROR(HistoricalFS!E5/HistoricalFS!E58,0)</f>
        <v>27.133587786259543</v>
      </c>
      <c r="F27" s="38">
        <f>IFERROR(HistoricalFS!F5/HistoricalFS!F58,0)</f>
        <v>21.646475770925111</v>
      </c>
      <c r="G27" s="38">
        <f>IFERROR(HistoricalFS!G5/HistoricalFS!G58,0)</f>
        <v>34.624020887728463</v>
      </c>
      <c r="H27" s="38">
        <f>IFERROR(HistoricalFS!H5/HistoricalFS!H58,0)</f>
        <v>26.750853242320819</v>
      </c>
      <c r="I27" s="38">
        <f>IFERROR(HistoricalFS!I5/HistoricalFS!I58,0)</f>
        <v>23.455277280858677</v>
      </c>
      <c r="J27" s="38">
        <f>IFERROR(HistoricalFS!J5/HistoricalFS!J58,0)</f>
        <v>19.67521922702176</v>
      </c>
      <c r="K27" s="38">
        <f>IFERROR(HistoricalFS!K5/HistoricalFS!K58,0)</f>
        <v>20.652652652652652</v>
      </c>
      <c r="L27" s="38">
        <f>IFERROR(HistoricalFS!L5/HistoricalFS!L58,0)</f>
        <v>16.52814873003404</v>
      </c>
      <c r="M27" s="28"/>
      <c r="N27" s="38">
        <f t="shared" si="2"/>
        <v>24.649389847227695</v>
      </c>
      <c r="O27" s="38">
        <f t="shared" si="3"/>
        <v>24.459442437897692</v>
      </c>
    </row>
    <row r="28" spans="2:15" x14ac:dyDescent="0.35">
      <c r="B28" s="30" t="s">
        <v>140</v>
      </c>
      <c r="C28" s="39">
        <f>IFERROR(HistoricalFS!C5/HistoricalFS!C49,0)</f>
        <v>4.0017406440382945</v>
      </c>
      <c r="D28" s="39">
        <f>IFERROR(HistoricalFS!D5/HistoricalFS!D49,0)</f>
        <v>3.818307426597582</v>
      </c>
      <c r="E28" s="39">
        <f>IFERROR(HistoricalFS!E5/HistoricalFS!E49,0)</f>
        <v>3.3593233153766184</v>
      </c>
      <c r="F28" s="39">
        <f>IFERROR(HistoricalFS!F5/HistoricalFS!F49,0)</f>
        <v>3.6865797617931162</v>
      </c>
      <c r="G28" s="39">
        <f>IFERROR(HistoricalFS!G5/HistoricalFS!G49,0)</f>
        <v>3.3363804092586382</v>
      </c>
      <c r="H28" s="39">
        <f>IFERROR(HistoricalFS!H5/HistoricalFS!H49,0)</f>
        <v>2.2324124181144973</v>
      </c>
      <c r="I28" s="39">
        <f>IFERROR(HistoricalFS!I5/HistoricalFS!I49,0)</f>
        <v>2.5706303303597688</v>
      </c>
      <c r="J28" s="39">
        <f>IFERROR(HistoricalFS!J5/HistoricalFS!J49,0)</f>
        <v>2.8106151990349817</v>
      </c>
      <c r="K28" s="39">
        <f>IFERROR(HistoricalFS!K5/HistoricalFS!K49,0)</f>
        <v>2.4002792104548805</v>
      </c>
      <c r="L28" s="39">
        <f>IFERROR(HistoricalFS!L5/HistoricalFS!L49,0)</f>
        <v>2.1894207422823446</v>
      </c>
      <c r="M28" s="30"/>
      <c r="N28" s="39">
        <f t="shared" si="2"/>
        <v>3.0405689457310716</v>
      </c>
      <c r="O28" s="39">
        <f t="shared" si="3"/>
        <v>3.0734978041468102</v>
      </c>
    </row>
    <row r="29" spans="2:15" x14ac:dyDescent="0.35">
      <c r="B29" s="30" t="s">
        <v>141</v>
      </c>
      <c r="C29" s="39">
        <f>IFERROR(HistoricalFS!C5/HistoricalFS!C59,0)</f>
        <v>11.807043286867204</v>
      </c>
      <c r="D29" s="39">
        <f>IFERROR(HistoricalFS!D5/HistoricalFS!D59,0)</f>
        <v>13.050767414403778</v>
      </c>
      <c r="E29" s="39">
        <f>IFERROR(HistoricalFS!E5/HistoricalFS!E59,0)</f>
        <v>14.144448865897333</v>
      </c>
      <c r="F29" s="39">
        <f>IFERROR(HistoricalFS!F5/HistoricalFS!F59,0)</f>
        <v>15.271950271950272</v>
      </c>
      <c r="G29" s="39">
        <f>IFERROR(HistoricalFS!G5/HistoricalFS!G59,0)</f>
        <v>14.377665341525118</v>
      </c>
      <c r="H29" s="39">
        <f>IFERROR(HistoricalFS!H5/HistoricalFS!H59,0)</f>
        <v>13.139983235540655</v>
      </c>
      <c r="I29" s="39">
        <f>IFERROR(HistoricalFS!I5/HistoricalFS!I59,0)</f>
        <v>12.80419921875</v>
      </c>
      <c r="J29" s="39">
        <f>IFERROR(HistoricalFS!J5/HistoricalFS!J59,0)</f>
        <v>14.250764525993883</v>
      </c>
      <c r="K29" s="39">
        <f>IFERROR(HistoricalFS!K5/HistoricalFS!K59,0)</f>
        <v>15.389358528095475</v>
      </c>
      <c r="L29" s="39">
        <f>IFERROR(HistoricalFS!L5/HistoricalFS!L59,0)</f>
        <v>14.296942242355605</v>
      </c>
      <c r="M29" s="30"/>
      <c r="N29" s="39">
        <f t="shared" si="2"/>
        <v>13.853312293137932</v>
      </c>
      <c r="O29" s="39">
        <f t="shared" si="3"/>
        <v>14.197606695945609</v>
      </c>
    </row>
    <row r="30" spans="2:15" x14ac:dyDescent="0.35">
      <c r="B30" s="30" t="s">
        <v>142</v>
      </c>
      <c r="C30" s="39">
        <f>IFERROR(HistoricalFS!C5/HistoricalFS!C52,0)</f>
        <v>9.8790669122160839</v>
      </c>
      <c r="D30" s="39">
        <f>IFERROR(HistoricalFS!D5/HistoricalFS!D52,0)</f>
        <v>7.5044127630685677</v>
      </c>
      <c r="E30" s="39">
        <f>IFERROR(HistoricalFS!E5/HistoricalFS!E52,0)</f>
        <v>7.8500441696113077</v>
      </c>
      <c r="F30" s="39">
        <f>IFERROR(HistoricalFS!F5/HistoricalFS!F52,0)</f>
        <v>8.3372216330858961</v>
      </c>
      <c r="G30" s="39">
        <f>IFERROR(HistoricalFS!G5/HistoricalFS!G52,0)</f>
        <v>7.2609965322139081</v>
      </c>
      <c r="H30" s="39">
        <f>IFERROR(HistoricalFS!H5/HistoricalFS!H52,0)</f>
        <v>0.91417685593763975</v>
      </c>
      <c r="I30" s="39">
        <f>IFERROR(HistoricalFS!I5/HistoricalFS!I52,0)</f>
        <v>1.018903114254075</v>
      </c>
      <c r="J30" s="39">
        <f>IFERROR(HistoricalFS!J5/HistoricalFS!J52,0)</f>
        <v>1.1500056949770303</v>
      </c>
      <c r="K30" s="39">
        <f>IFERROR(HistoricalFS!K5/HistoricalFS!K52,0)</f>
        <v>1.1516820482286394</v>
      </c>
      <c r="L30" s="39">
        <f>IFERROR(HistoricalFS!L5/HistoricalFS!L52,0)</f>
        <v>1.1617005613324745</v>
      </c>
      <c r="M30" s="30"/>
      <c r="N30" s="39">
        <f t="shared" si="2"/>
        <v>4.6228210284925622</v>
      </c>
      <c r="O30" s="39">
        <f t="shared" si="3"/>
        <v>4.2113485467731913</v>
      </c>
    </row>
    <row r="31" spans="2:15" x14ac:dyDescent="0.35">
      <c r="B31" s="32" t="s">
        <v>143</v>
      </c>
      <c r="C31" s="37">
        <f>IFERROR(HistoricalFS!C5/(HistoricalFS!C46+HistoricalFS!C47),0)</f>
        <v>4.8966986155484555</v>
      </c>
      <c r="D31" s="37">
        <f>IFERROR(HistoricalFS!D5/(HistoricalFS!D46+HistoricalFS!D47),0)</f>
        <v>4.9172597864768681</v>
      </c>
      <c r="E31" s="37">
        <f>IFERROR(HistoricalFS!E5/(HistoricalFS!E46+HistoricalFS!E47),0)</f>
        <v>4.8818843565444308</v>
      </c>
      <c r="F31" s="37">
        <f>IFERROR(HistoricalFS!F5/(HistoricalFS!F46+HistoricalFS!F47),0)</f>
        <v>4.9968221685521801</v>
      </c>
      <c r="G31" s="37">
        <f>IFERROR(HistoricalFS!G5/(HistoricalFS!G46+HistoricalFS!G47),0)</f>
        <v>4.8344877870944218</v>
      </c>
      <c r="H31" s="37">
        <f>IFERROR(HistoricalFS!H5/(HistoricalFS!H46+HistoricalFS!H47),0)</f>
        <v>0.98644963711876499</v>
      </c>
      <c r="I31" s="37">
        <f>IFERROR(HistoricalFS!I5/(HistoricalFS!I46+HistoricalFS!I47),0)</f>
        <v>1.0689957399971464</v>
      </c>
      <c r="J31" s="37">
        <f>IFERROR(HistoricalFS!J5/(HistoricalFS!J46+HistoricalFS!J47),0)</f>
        <v>1.2042779898218829</v>
      </c>
      <c r="K31" s="37">
        <f>IFERROR(HistoricalFS!K5/(HistoricalFS!K46+HistoricalFS!K47),0)</f>
        <v>1.2084813932601819</v>
      </c>
      <c r="L31" s="37">
        <f>IFERROR(HistoricalFS!L5/(HistoricalFS!L46+HistoricalFS!L47),0)</f>
        <v>1.2777013076393668</v>
      </c>
      <c r="M31" s="32"/>
      <c r="N31" s="37">
        <f t="shared" si="2"/>
        <v>3.0273058782053694</v>
      </c>
      <c r="O31" s="37">
        <f t="shared" si="3"/>
        <v>3.0560945473668943</v>
      </c>
    </row>
    <row r="32" spans="2:15" x14ac:dyDescent="0.35">
      <c r="C32" s="26"/>
      <c r="D32" s="26"/>
      <c r="E32" s="26"/>
      <c r="F32" s="26"/>
      <c r="G32" s="26"/>
      <c r="H32" s="26"/>
      <c r="I32" s="26"/>
      <c r="J32" s="26"/>
      <c r="K32" s="26"/>
      <c r="L32" s="26"/>
      <c r="O32" s="14"/>
    </row>
    <row r="33" spans="2:15" x14ac:dyDescent="0.35">
      <c r="B33" s="40" t="s">
        <v>148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9"/>
    </row>
    <row r="34" spans="2:15" x14ac:dyDescent="0.35">
      <c r="B34" s="30" t="s">
        <v>146</v>
      </c>
      <c r="C34" s="41">
        <f>IFERROR(365/C27,0)</f>
        <v>14.334182563847637</v>
      </c>
      <c r="D34" s="41">
        <f t="shared" ref="D34:L34" si="6">IFERROR(365/D27,0)</f>
        <v>11.942132561365419</v>
      </c>
      <c r="E34" s="41">
        <f t="shared" si="6"/>
        <v>13.4519623013082</v>
      </c>
      <c r="F34" s="41">
        <f t="shared" si="6"/>
        <v>16.861867209361485</v>
      </c>
      <c r="G34" s="41">
        <f t="shared" si="6"/>
        <v>10.541814342809742</v>
      </c>
      <c r="H34" s="41">
        <f t="shared" si="6"/>
        <v>13.644424598111764</v>
      </c>
      <c r="I34" s="41">
        <f t="shared" si="6"/>
        <v>15.561529954619989</v>
      </c>
      <c r="J34" s="41">
        <f t="shared" si="6"/>
        <v>18.551254539451964</v>
      </c>
      <c r="K34" s="41">
        <f t="shared" si="6"/>
        <v>17.673274525009695</v>
      </c>
      <c r="L34" s="41">
        <f t="shared" si="6"/>
        <v>22.08353796676225</v>
      </c>
      <c r="M34" s="30"/>
      <c r="N34" s="42">
        <f t="shared" ref="N34:N37" si="7">IFERROR(AVERAGE(C34:L34),0)</f>
        <v>15.464598056264816</v>
      </c>
      <c r="O34" s="42">
        <f t="shared" si="3"/>
        <v>14.947856259233813</v>
      </c>
    </row>
    <row r="35" spans="2:15" x14ac:dyDescent="0.35">
      <c r="B35" s="30" t="s">
        <v>144</v>
      </c>
      <c r="C35" s="41">
        <f>IFERROR(365/C28,0)</f>
        <v>91.210308829926049</v>
      </c>
      <c r="D35" s="41">
        <f t="shared" ref="D35:L35" si="8">IFERROR(365/D28,0)</f>
        <v>95.592093359869736</v>
      </c>
      <c r="E35" s="41">
        <f t="shared" si="8"/>
        <v>108.65283443522296</v>
      </c>
      <c r="F35" s="41">
        <f t="shared" si="8"/>
        <v>99.007758839989833</v>
      </c>
      <c r="G35" s="41">
        <f t="shared" si="8"/>
        <v>109.39999497272704</v>
      </c>
      <c r="H35" s="41">
        <f t="shared" si="8"/>
        <v>163.50025516713447</v>
      </c>
      <c r="I35" s="41">
        <f t="shared" si="8"/>
        <v>141.98852152690384</v>
      </c>
      <c r="J35" s="41">
        <f t="shared" si="8"/>
        <v>129.86480686695279</v>
      </c>
      <c r="K35" s="41">
        <f t="shared" si="8"/>
        <v>152.06564236784283</v>
      </c>
      <c r="L35" s="41">
        <f t="shared" si="8"/>
        <v>166.71076187005912</v>
      </c>
      <c r="M35" s="30"/>
      <c r="N35" s="42">
        <f t="shared" si="7"/>
        <v>125.79929782366287</v>
      </c>
      <c r="O35" s="42">
        <f t="shared" si="3"/>
        <v>119.63240091983991</v>
      </c>
    </row>
    <row r="36" spans="2:15" x14ac:dyDescent="0.35">
      <c r="B36" s="30" t="s">
        <v>145</v>
      </c>
      <c r="C36" s="41">
        <f>IFERROR(365/C29,0)</f>
        <v>30.913751320449887</v>
      </c>
      <c r="D36" s="41">
        <f t="shared" ref="D36:L36" si="9">IFERROR(365/D29,0)</f>
        <v>27.967703998552562</v>
      </c>
      <c r="E36" s="41">
        <f t="shared" si="9"/>
        <v>25.805176536784359</v>
      </c>
      <c r="F36" s="41">
        <f t="shared" si="9"/>
        <v>23.90002543881964</v>
      </c>
      <c r="G36" s="41">
        <f t="shared" si="9"/>
        <v>25.386597290299875</v>
      </c>
      <c r="H36" s="41">
        <f t="shared" si="9"/>
        <v>27.777813217657563</v>
      </c>
      <c r="I36" s="41">
        <f t="shared" si="9"/>
        <v>28.506273119017656</v>
      </c>
      <c r="J36" s="41">
        <f t="shared" si="9"/>
        <v>25.612660944206009</v>
      </c>
      <c r="K36" s="41">
        <f t="shared" si="9"/>
        <v>23.717687734263926</v>
      </c>
      <c r="L36" s="41">
        <f t="shared" si="9"/>
        <v>25.529934570111376</v>
      </c>
      <c r="M36" s="30"/>
      <c r="N36" s="42">
        <f t="shared" si="7"/>
        <v>26.511762417016286</v>
      </c>
      <c r="O36" s="42">
        <f t="shared" si="3"/>
        <v>25.708918740495186</v>
      </c>
    </row>
    <row r="37" spans="2:15" x14ac:dyDescent="0.35">
      <c r="B37" s="32" t="s">
        <v>147</v>
      </c>
      <c r="C37" s="43">
        <f>C34+C36-C35</f>
        <v>-45.962374945628525</v>
      </c>
      <c r="D37" s="43">
        <f t="shared" ref="D37:L37" si="10">D34+D36-D35</f>
        <v>-55.682256799951759</v>
      </c>
      <c r="E37" s="43">
        <f t="shared" si="10"/>
        <v>-69.395695597130398</v>
      </c>
      <c r="F37" s="43">
        <f t="shared" si="10"/>
        <v>-58.245866191808709</v>
      </c>
      <c r="G37" s="43">
        <f t="shared" si="10"/>
        <v>-73.471583339617425</v>
      </c>
      <c r="H37" s="43">
        <f t="shared" si="10"/>
        <v>-122.07801735136513</v>
      </c>
      <c r="I37" s="43">
        <f t="shared" si="10"/>
        <v>-97.92071845326619</v>
      </c>
      <c r="J37" s="43">
        <f t="shared" si="10"/>
        <v>-85.700891383294817</v>
      </c>
      <c r="K37" s="43">
        <f t="shared" si="10"/>
        <v>-110.67468010856921</v>
      </c>
      <c r="L37" s="43">
        <f t="shared" si="10"/>
        <v>-119.09728933318549</v>
      </c>
      <c r="M37" s="32"/>
      <c r="N37" s="44">
        <f t="shared" si="7"/>
        <v>-83.82293735038175</v>
      </c>
      <c r="O37" s="44">
        <f t="shared" si="3"/>
        <v>-79.586237361456114</v>
      </c>
    </row>
    <row r="38" spans="2:15" x14ac:dyDescent="0.35">
      <c r="O38" s="14"/>
    </row>
    <row r="39" spans="2:15" x14ac:dyDescent="0.35">
      <c r="B39" s="28" t="s">
        <v>149</v>
      </c>
      <c r="C39" s="29">
        <f>IFERROR(HistoricalFS!C80/HistoricalFS!C5,0)</f>
        <v>0.12707388305474429</v>
      </c>
      <c r="D39" s="29">
        <f>IFERROR(HistoricalFS!D80/HistoricalFS!D5,0)</f>
        <v>0.17480851577106327</v>
      </c>
      <c r="E39" s="29">
        <f>IFERROR(HistoricalFS!E80/HistoricalFS!E5,0)</f>
        <v>0.19397946265297511</v>
      </c>
      <c r="F39" s="29">
        <f>IFERROR(HistoricalFS!F80/HistoricalFS!F5,0)</f>
        <v>0.1388450775883999</v>
      </c>
      <c r="G39" s="29">
        <f>IFERROR(HistoricalFS!G80/HistoricalFS!G5,0)</f>
        <v>0.20194555463388886</v>
      </c>
      <c r="H39" s="29">
        <f>IFERROR(HistoricalFS!H80/HistoricalFS!H5,0)</f>
        <v>0.19269371438292082</v>
      </c>
      <c r="I39" s="29">
        <f>IFERROR(HistoricalFS!I80/HistoricalFS!I5,0)</f>
        <v>0.15345307554436946</v>
      </c>
      <c r="J39" s="29">
        <f>IFERROR(HistoricalFS!J80/HistoricalFS!J5,0)</f>
        <v>0.14907560250907889</v>
      </c>
      <c r="K39" s="29">
        <f>IFERROR(HistoricalFS!K80/HistoricalFS!K5,0)</f>
        <v>0.27113222179139201</v>
      </c>
      <c r="L39" s="29">
        <f>IFERROR(HistoricalFS!L80/HistoricalFS!L5,0)</f>
        <v>0.17582104212544161</v>
      </c>
      <c r="M39" s="28"/>
      <c r="N39" s="29">
        <f t="shared" ref="N39:N41" si="11">IFERROR(AVERAGE(C39:L39),0)</f>
        <v>0.17788281500542741</v>
      </c>
      <c r="O39" s="29">
        <f t="shared" si="3"/>
        <v>0.17531477894825243</v>
      </c>
    </row>
    <row r="40" spans="2:15" x14ac:dyDescent="0.35">
      <c r="B40" s="30" t="s">
        <v>150</v>
      </c>
      <c r="C40" s="31">
        <f>IFERROR(HistoricalFS!C80/HistoricalFS!C63,0)</f>
        <v>0.27648211992158456</v>
      </c>
      <c r="D40" s="31">
        <f>IFERROR(HistoricalFS!D80/HistoricalFS!D63,0)</f>
        <v>0.36909461352349421</v>
      </c>
      <c r="E40" s="31">
        <f>IFERROR(HistoricalFS!E80/HistoricalFS!E63,0)</f>
        <v>0.38601500391893406</v>
      </c>
      <c r="F40" s="31">
        <f>IFERROR(HistoricalFS!F80/HistoricalFS!F63,0)</f>
        <v>0.29298405711525044</v>
      </c>
      <c r="G40" s="31">
        <f>IFERROR(HistoricalFS!G80/HistoricalFS!G63,0)</f>
        <v>0.39865032501364561</v>
      </c>
      <c r="H40" s="31">
        <f>IFERROR(HistoricalFS!H80/HistoricalFS!H63,0)</f>
        <v>0.13183008437590923</v>
      </c>
      <c r="I40" s="31">
        <f>IFERROR(HistoricalFS!I80/HistoricalFS!I63,0)</f>
        <v>0.1141463137888974</v>
      </c>
      <c r="J40" s="31">
        <f>IFERROR(HistoricalFS!J80/HistoricalFS!J63,0)</f>
        <v>0.12358197517686824</v>
      </c>
      <c r="K40" s="31">
        <f>IFERROR(HistoricalFS!K80/HistoricalFS!K63,0)</f>
        <v>0.21381340060390627</v>
      </c>
      <c r="L40" s="31">
        <f>IFERROR(HistoricalFS!L80/HistoricalFS!L63,0)</f>
        <v>0.13893340010015023</v>
      </c>
      <c r="M40" s="30"/>
      <c r="N40" s="31">
        <f t="shared" si="11"/>
        <v>0.244553129353864</v>
      </c>
      <c r="O40" s="31">
        <f t="shared" si="3"/>
        <v>0.24514776026274543</v>
      </c>
    </row>
    <row r="41" spans="2:15" x14ac:dyDescent="0.35">
      <c r="B41" s="32" t="s">
        <v>151</v>
      </c>
      <c r="C41" s="33">
        <f>IFERROR(HistoricalFS!C80/SUM(HistoricalFS!C48:C49),0)</f>
        <v>0.4975669099756691</v>
      </c>
      <c r="D41" s="33">
        <f>IFERROR(HistoricalFS!D80/SUM(HistoricalFS!D48:D49),0)</f>
        <v>0.64684222271814329</v>
      </c>
      <c r="E41" s="33">
        <f>IFERROR(HistoricalFS!E80/SUM(HistoricalFS!E48:E49),0)</f>
        <v>0.65163973159436728</v>
      </c>
      <c r="F41" s="33">
        <f>IFERROR(HistoricalFS!F80/SUM(HistoricalFS!F48:F49),0)</f>
        <v>0.50715480393978818</v>
      </c>
      <c r="G41" s="33">
        <f>IFERROR(HistoricalFS!G80/SUM(HistoricalFS!G48:G49),0)</f>
        <v>0.67376719221737669</v>
      </c>
      <c r="H41" s="33">
        <f>IFERROR(HistoricalFS!H80/SUM(HistoricalFS!H48:H49),0)</f>
        <v>0.43017184088104055</v>
      </c>
      <c r="I41" s="33">
        <f>IFERROR(HistoricalFS!I80/SUM(HistoricalFS!I48:I49),0)</f>
        <v>0.37528561436232222</v>
      </c>
      <c r="J41" s="33">
        <f>IFERROR(HistoricalFS!J80/SUM(HistoricalFS!J48:J49),0)</f>
        <v>0.39656610898871469</v>
      </c>
      <c r="K41" s="33">
        <f>IFERROR(HistoricalFS!K80/SUM(HistoricalFS!K48:K49),0)</f>
        <v>0.61537897400168673</v>
      </c>
      <c r="L41" s="33">
        <f>IFERROR(HistoricalFS!L80/SUM(HistoricalFS!L48:L49),0)</f>
        <v>0.36413150469190891</v>
      </c>
      <c r="M41" s="32"/>
      <c r="N41" s="33">
        <f t="shared" si="11"/>
        <v>0.51585049033710184</v>
      </c>
      <c r="O41" s="33">
        <f t="shared" si="3"/>
        <v>0.5023608569577287</v>
      </c>
    </row>
  </sheetData>
  <mergeCells count="1">
    <mergeCell ref="B2:L2"/>
  </mergeCells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'Ratio analysis'!C11:L11</xm:f>
              <xm:sqref>M11</xm:sqref>
            </x14:sparkline>
            <x14:sparkline>
              <xm:f>'Ratio analysis'!C12:L12</xm:f>
              <xm:sqref>M12</xm:sqref>
            </x14:sparkline>
            <x14:sparkline>
              <xm:f>'Ratio analysis'!C13:L13</xm:f>
              <xm:sqref>M13</xm:sqref>
            </x14:sparkline>
            <x14:sparkline>
              <xm:f>'Ratio analysis'!C14:L14</xm:f>
              <xm:sqref>M14</xm:sqref>
            </x14:sparkline>
            <x14:sparkline>
              <xm:f>'Ratio analysis'!C15:L15</xm:f>
              <xm:sqref>M15</xm:sqref>
            </x14:sparkline>
            <x14:sparkline>
              <xm:f>'Ratio analysis'!C16:L16</xm:f>
              <xm:sqref>M16</xm:sqref>
            </x14:sparkline>
            <x14:sparkline>
              <xm:f>'Ratio analysis'!C17:L17</xm:f>
              <xm:sqref>M17</xm:sqref>
            </x14:sparkline>
            <x14:sparkline>
              <xm:f>'Ratio analysis'!C18:L18</xm:f>
              <xm:sqref>M18</xm:sqref>
            </x14:sparkline>
            <x14:sparkline>
              <xm:f>'Ratio analysis'!C19:L19</xm:f>
              <xm:sqref>M19</xm:sqref>
            </x14:sparkline>
            <x14:sparkline>
              <xm:f>'Ratio analysis'!C20:L20</xm:f>
              <xm:sqref>M20</xm:sqref>
            </x14:sparkline>
            <x14:sparkline>
              <xm:f>'Ratio analysis'!C21:L21</xm:f>
              <xm:sqref>M21</xm:sqref>
            </x14:sparkline>
            <x14:sparkline>
              <xm:f>'Ratio analysis'!C22:L22</xm:f>
              <xm:sqref>M22</xm:sqref>
            </x14:sparkline>
            <x14:sparkline>
              <xm:f>'Ratio analysis'!C23:L23</xm:f>
              <xm:sqref>M23</xm:sqref>
            </x14:sparkline>
            <x14:sparkline>
              <xm:f>'Ratio analysis'!C24:L24</xm:f>
              <xm:sqref>M24</xm:sqref>
            </x14:sparkline>
            <x14:sparkline>
              <xm:f>'Ratio analysis'!C25:L25</xm:f>
              <xm:sqref>M25</xm:sqref>
            </x14:sparkline>
            <x14:sparkline>
              <xm:f>'Ratio analysis'!C26:L26</xm:f>
              <xm:sqref>M26</xm:sqref>
            </x14:sparkline>
            <x14:sparkline>
              <xm:f>'Ratio analysis'!C27:L27</xm:f>
              <xm:sqref>M27</xm:sqref>
            </x14:sparkline>
            <x14:sparkline>
              <xm:f>'Ratio analysis'!C28:L28</xm:f>
              <xm:sqref>M28</xm:sqref>
            </x14:sparkline>
            <x14:sparkline>
              <xm:f>'Ratio analysis'!C29:L29</xm:f>
              <xm:sqref>M29</xm:sqref>
            </x14:sparkline>
            <x14:sparkline>
              <xm:f>'Ratio analysis'!C30:L30</xm:f>
              <xm:sqref>M30</xm:sqref>
            </x14:sparkline>
            <x14:sparkline>
              <xm:f>'Ratio analysis'!C31:L31</xm:f>
              <xm:sqref>M31</xm:sqref>
            </x14:sparkline>
            <x14:sparkline>
              <xm:f>'Ratio analysis'!C32:L32</xm:f>
              <xm:sqref>M32</xm:sqref>
            </x14:sparkline>
            <x14:sparkline>
              <xm:f>'Ratio analysis'!C33:L33</xm:f>
              <xm:sqref>M33</xm:sqref>
            </x14:sparkline>
            <x14:sparkline>
              <xm:f>'Ratio analysis'!C34:L34</xm:f>
              <xm:sqref>M34</xm:sqref>
            </x14:sparkline>
            <x14:sparkline>
              <xm:f>'Ratio analysis'!C35:L35</xm:f>
              <xm:sqref>M35</xm:sqref>
            </x14:sparkline>
            <x14:sparkline>
              <xm:f>'Ratio analysis'!C36:L36</xm:f>
              <xm:sqref>M36</xm:sqref>
            </x14:sparkline>
            <x14:sparkline>
              <xm:f>'Ratio analysis'!C37:L37</xm:f>
              <xm:sqref>M37</xm:sqref>
            </x14:sparkline>
            <x14:sparkline>
              <xm:f>'Ratio analysis'!C38:L38</xm:f>
              <xm:sqref>M38</xm:sqref>
            </x14:sparkline>
            <x14:sparkline>
              <xm:f>'Ratio analysis'!C39:L39</xm:f>
              <xm:sqref>M39</xm:sqref>
            </x14:sparkline>
            <x14:sparkline>
              <xm:f>'Ratio analysis'!C40:L40</xm:f>
              <xm:sqref>M40</xm:sqref>
            </x14:sparkline>
            <x14:sparkline>
              <xm:f>'Ratio analysis'!C41:L41</xm:f>
              <xm:sqref>M41</xm:sqref>
            </x14:sparkline>
          </x14:sparklines>
        </x14:sparklineGroup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'Ratio analysis'!D5:L5</xm:f>
              <xm:sqref>M5</xm:sqref>
            </x14:sparkline>
            <x14:sparkline>
              <xm:f>'Ratio analysis'!D6:L6</xm:f>
              <xm:sqref>M6</xm:sqref>
            </x14:sparkline>
            <x14:sparkline>
              <xm:f>'Ratio analysis'!D7:L7</xm:f>
              <xm:sqref>M7</xm:sqref>
            </x14:sparkline>
            <x14:sparkline>
              <xm:f>'Ratio analysis'!D8:L8</xm:f>
              <xm:sqref>M8</xm:sqref>
            </x14:sparkline>
            <x14:sparkline>
              <xm:f>'Ratio analysis'!D9:L9</xm:f>
              <xm:sqref>M9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0"/>
  <sheetViews>
    <sheetView workbookViewId="0">
      <selection activeCell="I1" sqref="I1"/>
    </sheetView>
  </sheetViews>
  <sheetFormatPr defaultRowHeight="14.5" x14ac:dyDescent="0.35"/>
  <cols>
    <col min="1" max="1" width="1.90625" style="8" customWidth="1"/>
    <col min="2" max="5" width="11.6328125" style="8" customWidth="1"/>
    <col min="6" max="6" width="8.7265625" style="8"/>
    <col min="7" max="10" width="11.6328125" style="8" customWidth="1"/>
    <col min="11" max="11" width="8.7265625" style="8"/>
    <col min="12" max="15" width="11.6328125" style="8" customWidth="1"/>
    <col min="16" max="16384" width="8.7265625" style="8"/>
  </cols>
  <sheetData>
    <row r="2" spans="2:15" x14ac:dyDescent="0.35">
      <c r="B2" s="142" t="str">
        <f>'Data Sheet'!$B$1&amp;" - Sales Forecasting"</f>
        <v>HINDUSTAN UNILEVER LTD - Sales Forecasting</v>
      </c>
      <c r="C2" s="142"/>
      <c r="D2" s="142"/>
      <c r="E2" s="142"/>
      <c r="G2" s="142" t="str">
        <f>'Data Sheet'!$B$1&amp;" - EBITDA Forecasting"</f>
        <v>HINDUSTAN UNILEVER LTD - EBITDA Forecasting</v>
      </c>
      <c r="H2" s="142"/>
      <c r="I2" s="142"/>
      <c r="J2" s="142"/>
      <c r="L2" s="142" t="str">
        <f>'Data Sheet'!$B$1&amp;" - EPS Forecasting"</f>
        <v>HINDUSTAN UNILEVER LTD - EPS Forecasting</v>
      </c>
      <c r="M2" s="142"/>
      <c r="N2" s="142"/>
      <c r="O2" s="142"/>
    </row>
    <row r="3" spans="2:15" x14ac:dyDescent="0.35">
      <c r="B3" s="9" t="s">
        <v>154</v>
      </c>
      <c r="C3" s="45" t="s">
        <v>155</v>
      </c>
      <c r="D3" s="45" t="s">
        <v>12</v>
      </c>
      <c r="E3" s="45" t="s">
        <v>59</v>
      </c>
      <c r="G3" s="9" t="s">
        <v>154</v>
      </c>
      <c r="H3" s="45" t="s">
        <v>155</v>
      </c>
      <c r="I3" s="45" t="s">
        <v>12</v>
      </c>
      <c r="J3" s="45" t="s">
        <v>59</v>
      </c>
      <c r="L3" s="9" t="s">
        <v>154</v>
      </c>
      <c r="M3" s="45" t="s">
        <v>155</v>
      </c>
      <c r="N3" s="45" t="s">
        <v>12</v>
      </c>
      <c r="O3" s="45" t="s">
        <v>59</v>
      </c>
    </row>
    <row r="4" spans="2:15" x14ac:dyDescent="0.35">
      <c r="B4" s="46">
        <v>1</v>
      </c>
      <c r="C4" s="47">
        <f>'Data Sheet'!$B$16</f>
        <v>42460</v>
      </c>
      <c r="D4" s="12">
        <f t="array" ref="D4:D13">IFERROR(TRANSPOSE('Data Sheet'!B17:K17),0)</f>
        <v>32186</v>
      </c>
      <c r="G4" s="46">
        <v>1</v>
      </c>
      <c r="H4" s="47">
        <f>'Data Sheet'!$B$16</f>
        <v>42460</v>
      </c>
      <c r="I4" s="12">
        <f t="array" ref="I4:I13">IFERROR(TRANSPOSE(HistoricalFS!C16:L16),0)</f>
        <v>5910</v>
      </c>
      <c r="L4" s="46">
        <v>1</v>
      </c>
      <c r="M4" s="47">
        <f>'Data Sheet'!$B$16</f>
        <v>42460</v>
      </c>
      <c r="N4" s="12">
        <f t="array" ref="N4:N13">IFERROR(TRANSPOSE(HistoricalFS!C36:L36),0)</f>
        <v>16.937011876704101</v>
      </c>
    </row>
    <row r="5" spans="2:15" x14ac:dyDescent="0.35">
      <c r="B5" s="46">
        <v>2</v>
      </c>
      <c r="C5" s="47">
        <f>C4+365</f>
        <v>42825</v>
      </c>
      <c r="D5" s="12">
        <v>33162</v>
      </c>
      <c r="E5" s="14">
        <f>D5/D4-1</f>
        <v>3.03237432424035E-2</v>
      </c>
      <c r="G5" s="46">
        <v>2</v>
      </c>
      <c r="H5" s="47">
        <f>H4+365</f>
        <v>42825</v>
      </c>
      <c r="I5" s="12">
        <v>6328</v>
      </c>
      <c r="J5" s="14">
        <f>I5/I4-1</f>
        <v>7.0727580372250465E-2</v>
      </c>
      <c r="L5" s="46">
        <v>2</v>
      </c>
      <c r="M5" s="47">
        <f>M4+365</f>
        <v>42825</v>
      </c>
      <c r="N5" s="12">
        <v>17.945756133622879</v>
      </c>
      <c r="O5" s="14">
        <f>N5/N4-1</f>
        <v>5.9558572920778818E-2</v>
      </c>
    </row>
    <row r="6" spans="2:15" x14ac:dyDescent="0.35">
      <c r="B6" s="46">
        <v>3</v>
      </c>
      <c r="C6" s="47">
        <f t="shared" ref="C6:C20" si="0">C5+365</f>
        <v>43190</v>
      </c>
      <c r="D6" s="12">
        <v>35545</v>
      </c>
      <c r="E6" s="14">
        <f t="shared" ref="E6:E20" si="1">D6/D5-1</f>
        <v>7.1859357095470644E-2</v>
      </c>
      <c r="G6" s="46">
        <v>3</v>
      </c>
      <c r="H6" s="47">
        <f t="shared" ref="H6:H20" si="2">H5+365</f>
        <v>43190</v>
      </c>
      <c r="I6" s="12">
        <v>7499</v>
      </c>
      <c r="J6" s="14">
        <f t="shared" ref="J6:J20" si="3">I6/I5-1</f>
        <v>0.1850505689001265</v>
      </c>
      <c r="L6" s="46">
        <v>3</v>
      </c>
      <c r="M6" s="47">
        <f t="shared" ref="M6:M20" si="4">M5+365</f>
        <v>43190</v>
      </c>
      <c r="N6" s="12">
        <v>22.51790251790252</v>
      </c>
      <c r="O6" s="14">
        <f t="shared" ref="O6:O20" si="5">N6/N5-1</f>
        <v>0.25477591193348159</v>
      </c>
    </row>
    <row r="7" spans="2:15" x14ac:dyDescent="0.35">
      <c r="B7" s="46">
        <v>4</v>
      </c>
      <c r="C7" s="47">
        <f t="shared" si="0"/>
        <v>43555</v>
      </c>
      <c r="D7" s="12">
        <v>39310</v>
      </c>
      <c r="E7" s="14">
        <f t="shared" si="1"/>
        <v>0.1059220706147137</v>
      </c>
      <c r="G7" s="46">
        <v>4</v>
      </c>
      <c r="H7" s="47">
        <f t="shared" si="2"/>
        <v>43555</v>
      </c>
      <c r="I7" s="12">
        <v>8880</v>
      </c>
      <c r="J7" s="14">
        <f t="shared" si="3"/>
        <v>0.1841578877183625</v>
      </c>
      <c r="L7" s="46">
        <v>4</v>
      </c>
      <c r="M7" s="47">
        <f t="shared" si="4"/>
        <v>43555</v>
      </c>
      <c r="N7" s="12">
        <v>26.507137247655564</v>
      </c>
      <c r="O7" s="14">
        <f t="shared" si="5"/>
        <v>0.17715836217789205</v>
      </c>
    </row>
    <row r="8" spans="2:15" x14ac:dyDescent="0.35">
      <c r="B8" s="46">
        <v>5</v>
      </c>
      <c r="C8" s="47">
        <f t="shared" si="0"/>
        <v>43920</v>
      </c>
      <c r="D8" s="12">
        <v>39783</v>
      </c>
      <c r="E8" s="14">
        <f t="shared" si="1"/>
        <v>1.2032561689137689E-2</v>
      </c>
      <c r="G8" s="46">
        <v>5</v>
      </c>
      <c r="H8" s="47">
        <f t="shared" si="2"/>
        <v>43920</v>
      </c>
      <c r="I8" s="12">
        <v>9861</v>
      </c>
      <c r="J8" s="14">
        <f t="shared" si="3"/>
        <v>0.11047297297297298</v>
      </c>
      <c r="L8" s="46">
        <v>5</v>
      </c>
      <c r="M8" s="47">
        <f t="shared" si="4"/>
        <v>43920</v>
      </c>
      <c r="N8" s="12">
        <v>29.249815225424982</v>
      </c>
      <c r="O8" s="14">
        <f t="shared" si="5"/>
        <v>0.10346941475213423</v>
      </c>
    </row>
    <row r="9" spans="2:15" x14ac:dyDescent="0.35">
      <c r="B9" s="46">
        <v>6</v>
      </c>
      <c r="C9" s="47">
        <f t="shared" si="0"/>
        <v>44285</v>
      </c>
      <c r="D9" s="12">
        <v>47028</v>
      </c>
      <c r="E9" s="14">
        <f t="shared" si="1"/>
        <v>0.18211296282331646</v>
      </c>
      <c r="G9" s="46">
        <v>6</v>
      </c>
      <c r="H9" s="47">
        <f t="shared" si="2"/>
        <v>44285</v>
      </c>
      <c r="I9" s="12">
        <v>11626</v>
      </c>
      <c r="J9" s="14">
        <f t="shared" si="3"/>
        <v>0.1789879322583916</v>
      </c>
      <c r="L9" s="46">
        <v>6</v>
      </c>
      <c r="M9" s="47">
        <f t="shared" si="4"/>
        <v>44285</v>
      </c>
      <c r="N9" s="12">
        <v>33.320565202587673</v>
      </c>
      <c r="O9" s="14">
        <f t="shared" si="5"/>
        <v>0.1391718185496178</v>
      </c>
    </row>
    <row r="10" spans="2:15" x14ac:dyDescent="0.35">
      <c r="B10" s="46">
        <v>7</v>
      </c>
      <c r="C10" s="47">
        <f t="shared" si="0"/>
        <v>44650</v>
      </c>
      <c r="D10" s="12">
        <v>52446</v>
      </c>
      <c r="E10" s="14">
        <f t="shared" si="1"/>
        <v>0.11520796121459553</v>
      </c>
      <c r="G10" s="46">
        <v>7</v>
      </c>
      <c r="H10" s="47">
        <f t="shared" si="2"/>
        <v>44650</v>
      </c>
      <c r="I10" s="12">
        <v>12857</v>
      </c>
      <c r="J10" s="14">
        <f t="shared" si="3"/>
        <v>0.10588336487183891</v>
      </c>
      <c r="L10" s="46">
        <v>7</v>
      </c>
      <c r="M10" s="47">
        <f t="shared" si="4"/>
        <v>44650</v>
      </c>
      <c r="N10" s="12">
        <v>36.912665985699689</v>
      </c>
      <c r="O10" s="14">
        <f t="shared" si="5"/>
        <v>0.10780431728190054</v>
      </c>
    </row>
    <row r="11" spans="2:15" x14ac:dyDescent="0.35">
      <c r="B11" s="46">
        <v>8</v>
      </c>
      <c r="C11" s="47">
        <f t="shared" si="0"/>
        <v>45015</v>
      </c>
      <c r="D11" s="12">
        <v>60580</v>
      </c>
      <c r="E11" s="14">
        <f t="shared" si="1"/>
        <v>0.15509285741524614</v>
      </c>
      <c r="G11" s="46">
        <v>8</v>
      </c>
      <c r="H11" s="47">
        <f t="shared" si="2"/>
        <v>45015</v>
      </c>
      <c r="I11" s="12">
        <v>14147</v>
      </c>
      <c r="J11" s="14">
        <f t="shared" si="3"/>
        <v>0.10033444816053505</v>
      </c>
      <c r="L11" s="46">
        <v>8</v>
      </c>
      <c r="M11" s="47">
        <f t="shared" si="4"/>
        <v>45015</v>
      </c>
      <c r="N11" s="12">
        <v>41.262342526387471</v>
      </c>
      <c r="O11" s="14">
        <f t="shared" si="5"/>
        <v>0.11783696529459253</v>
      </c>
    </row>
    <row r="12" spans="2:15" x14ac:dyDescent="0.35">
      <c r="B12" s="46">
        <v>9</v>
      </c>
      <c r="C12" s="47">
        <f t="shared" si="0"/>
        <v>45380</v>
      </c>
      <c r="D12" s="12">
        <v>61896</v>
      </c>
      <c r="E12" s="14">
        <f t="shared" si="1"/>
        <v>2.1723341036645749E-2</v>
      </c>
      <c r="G12" s="46">
        <v>9</v>
      </c>
      <c r="H12" s="47">
        <f t="shared" si="2"/>
        <v>45380</v>
      </c>
      <c r="I12" s="12">
        <v>14659</v>
      </c>
      <c r="J12" s="14">
        <f t="shared" si="3"/>
        <v>3.6191418675337594E-2</v>
      </c>
      <c r="L12" s="46">
        <v>9</v>
      </c>
      <c r="M12" s="47">
        <f t="shared" si="4"/>
        <v>45380</v>
      </c>
      <c r="N12" s="12">
        <v>40.283452502553622</v>
      </c>
      <c r="O12" s="14">
        <f t="shared" si="5"/>
        <v>-2.3723568849922771E-2</v>
      </c>
    </row>
    <row r="13" spans="2:15" x14ac:dyDescent="0.35">
      <c r="B13" s="46">
        <v>10</v>
      </c>
      <c r="C13" s="47">
        <f t="shared" si="0"/>
        <v>45745</v>
      </c>
      <c r="D13" s="12">
        <v>63121</v>
      </c>
      <c r="E13" s="14">
        <f t="shared" si="1"/>
        <v>1.9791262763344974E-2</v>
      </c>
      <c r="G13" s="46">
        <v>10</v>
      </c>
      <c r="H13" s="47">
        <f t="shared" si="2"/>
        <v>45745</v>
      </c>
      <c r="I13" s="12">
        <v>14843</v>
      </c>
      <c r="J13" s="14">
        <f t="shared" si="3"/>
        <v>1.255201582645471E-2</v>
      </c>
      <c r="L13" s="46">
        <v>10</v>
      </c>
      <c r="M13" s="47">
        <f t="shared" si="4"/>
        <v>45745</v>
      </c>
      <c r="N13" s="12">
        <v>39.789751447054819</v>
      </c>
      <c r="O13" s="14">
        <f t="shared" si="5"/>
        <v>-1.2255678816692983E-2</v>
      </c>
    </row>
    <row r="14" spans="2:15" x14ac:dyDescent="0.35">
      <c r="B14" s="48">
        <v>11</v>
      </c>
      <c r="C14" s="49">
        <f t="shared" si="0"/>
        <v>46110</v>
      </c>
      <c r="D14" s="50">
        <f>FORECAST(B14,$D$4:$D$13,$B$4:$B$13)</f>
        <v>68218.399999999994</v>
      </c>
      <c r="E14" s="51">
        <f t="shared" si="1"/>
        <v>8.0756008301515969E-2</v>
      </c>
      <c r="G14" s="48">
        <v>11</v>
      </c>
      <c r="H14" s="49">
        <f t="shared" si="2"/>
        <v>46110</v>
      </c>
      <c r="I14" s="50">
        <f>FORECAST(G14,$I$4:$I$13,$G$4:$G$13)</f>
        <v>16849.333333333336</v>
      </c>
      <c r="J14" s="51">
        <f t="shared" si="3"/>
        <v>0.13517033843113491</v>
      </c>
      <c r="L14" s="48">
        <v>11</v>
      </c>
      <c r="M14" s="49">
        <f t="shared" si="4"/>
        <v>46110</v>
      </c>
      <c r="N14" s="50">
        <f>FORECAST(L14,$N$4:$N$13,$L$4:$L$13)</f>
        <v>46.840908964872376</v>
      </c>
      <c r="O14" s="51">
        <f t="shared" si="5"/>
        <v>0.17721039366631874</v>
      </c>
    </row>
    <row r="15" spans="2:15" x14ac:dyDescent="0.35">
      <c r="B15" s="48">
        <v>12</v>
      </c>
      <c r="C15" s="49">
        <f t="shared" si="0"/>
        <v>46475</v>
      </c>
      <c r="D15" s="50">
        <f t="shared" ref="D15:D20" si="6">FORECAST(B15,$D$4:$D$13,$B$4:$B$13)</f>
        <v>72166.163636363635</v>
      </c>
      <c r="E15" s="51">
        <f t="shared" si="1"/>
        <v>5.7869484425955964E-2</v>
      </c>
      <c r="G15" s="48">
        <v>12</v>
      </c>
      <c r="H15" s="49">
        <f t="shared" si="2"/>
        <v>46475</v>
      </c>
      <c r="I15" s="50">
        <f t="shared" ref="I15:I20" si="7">FORECAST(G15,$I$4:$I$13,$G$4:$G$13)</f>
        <v>17974.484848484848</v>
      </c>
      <c r="J15" s="51">
        <f t="shared" si="3"/>
        <v>6.6777212658355234E-2</v>
      </c>
      <c r="L15" s="48">
        <v>12</v>
      </c>
      <c r="M15" s="49">
        <f t="shared" si="4"/>
        <v>46475</v>
      </c>
      <c r="N15" s="50">
        <f t="shared" ref="N15:N20" si="8">FORECAST(L15,$N$4:$N$13,$L$4:$L$13)</f>
        <v>49.816957855474747</v>
      </c>
      <c r="O15" s="51">
        <f t="shared" si="5"/>
        <v>6.3535250625349926E-2</v>
      </c>
    </row>
    <row r="16" spans="2:15" x14ac:dyDescent="0.35">
      <c r="B16" s="48">
        <v>13</v>
      </c>
      <c r="C16" s="49">
        <f t="shared" si="0"/>
        <v>46840</v>
      </c>
      <c r="D16" s="50">
        <f t="shared" si="6"/>
        <v>76113.927272727276</v>
      </c>
      <c r="E16" s="51">
        <f t="shared" si="1"/>
        <v>5.4703803520108618E-2</v>
      </c>
      <c r="G16" s="48">
        <v>13</v>
      </c>
      <c r="H16" s="49">
        <f t="shared" si="2"/>
        <v>46840</v>
      </c>
      <c r="I16" s="50">
        <f t="shared" si="7"/>
        <v>19099.636363636364</v>
      </c>
      <c r="J16" s="51">
        <f t="shared" si="3"/>
        <v>6.259714949473838E-2</v>
      </c>
      <c r="L16" s="48">
        <v>13</v>
      </c>
      <c r="M16" s="49">
        <f t="shared" si="4"/>
        <v>46840</v>
      </c>
      <c r="N16" s="50">
        <f t="shared" si="8"/>
        <v>52.793006746077118</v>
      </c>
      <c r="O16" s="51">
        <f t="shared" si="5"/>
        <v>5.9739675377935786E-2</v>
      </c>
    </row>
    <row r="17" spans="2:15" x14ac:dyDescent="0.35">
      <c r="B17" s="48">
        <v>14</v>
      </c>
      <c r="C17" s="49">
        <f t="shared" si="0"/>
        <v>47205</v>
      </c>
      <c r="D17" s="50">
        <f t="shared" si="6"/>
        <v>80061.690909090903</v>
      </c>
      <c r="E17" s="51">
        <f t="shared" si="1"/>
        <v>5.1866508243862075E-2</v>
      </c>
      <c r="G17" s="48">
        <v>14</v>
      </c>
      <c r="H17" s="49">
        <f t="shared" si="2"/>
        <v>47205</v>
      </c>
      <c r="I17" s="50">
        <f t="shared" si="7"/>
        <v>20224.78787878788</v>
      </c>
      <c r="J17" s="51">
        <f t="shared" si="3"/>
        <v>5.890957784377937E-2</v>
      </c>
      <c r="L17" s="48">
        <v>14</v>
      </c>
      <c r="M17" s="49">
        <f t="shared" si="4"/>
        <v>47205</v>
      </c>
      <c r="N17" s="50">
        <f t="shared" si="8"/>
        <v>55.769055636679497</v>
      </c>
      <c r="O17" s="51">
        <f t="shared" si="5"/>
        <v>5.6372028683960407E-2</v>
      </c>
    </row>
    <row r="18" spans="2:15" x14ac:dyDescent="0.35">
      <c r="B18" s="48">
        <v>15</v>
      </c>
      <c r="C18" s="49">
        <f t="shared" si="0"/>
        <v>47570</v>
      </c>
      <c r="D18" s="50">
        <f t="shared" si="6"/>
        <v>84009.454545454544</v>
      </c>
      <c r="E18" s="51">
        <f t="shared" si="1"/>
        <v>4.930902147503069E-2</v>
      </c>
      <c r="G18" s="48">
        <v>15</v>
      </c>
      <c r="H18" s="49">
        <f t="shared" si="2"/>
        <v>47570</v>
      </c>
      <c r="I18" s="50">
        <f t="shared" si="7"/>
        <v>21349.939393939392</v>
      </c>
      <c r="J18" s="51">
        <f t="shared" si="3"/>
        <v>5.5632302395200561E-2</v>
      </c>
      <c r="L18" s="48">
        <v>15</v>
      </c>
      <c r="M18" s="49">
        <f t="shared" si="4"/>
        <v>47570</v>
      </c>
      <c r="N18" s="50">
        <f t="shared" si="8"/>
        <v>58.745104527281867</v>
      </c>
      <c r="O18" s="51">
        <f t="shared" si="5"/>
        <v>5.3363802858533926E-2</v>
      </c>
    </row>
    <row r="19" spans="2:15" x14ac:dyDescent="0.35">
      <c r="B19" s="48">
        <v>16</v>
      </c>
      <c r="C19" s="49">
        <f t="shared" si="0"/>
        <v>47935</v>
      </c>
      <c r="D19" s="50">
        <f t="shared" si="6"/>
        <v>87957.218181818185</v>
      </c>
      <c r="E19" s="51">
        <f t="shared" si="1"/>
        <v>4.6991897015920436E-2</v>
      </c>
      <c r="G19" s="48">
        <v>16</v>
      </c>
      <c r="H19" s="49">
        <f t="shared" si="2"/>
        <v>47935</v>
      </c>
      <c r="I19" s="50">
        <f t="shared" si="7"/>
        <v>22475.090909090912</v>
      </c>
      <c r="J19" s="51">
        <f t="shared" si="3"/>
        <v>5.2700454759647464E-2</v>
      </c>
      <c r="L19" s="48">
        <v>16</v>
      </c>
      <c r="M19" s="49">
        <f t="shared" si="4"/>
        <v>47935</v>
      </c>
      <c r="N19" s="50">
        <f t="shared" si="8"/>
        <v>61.721153417884238</v>
      </c>
      <c r="O19" s="51">
        <f t="shared" si="5"/>
        <v>5.06603727161683E-2</v>
      </c>
    </row>
    <row r="20" spans="2:15" x14ac:dyDescent="0.35">
      <c r="B20" s="48">
        <v>17</v>
      </c>
      <c r="C20" s="49">
        <f t="shared" si="0"/>
        <v>48300</v>
      </c>
      <c r="D20" s="50">
        <f t="shared" si="6"/>
        <v>91904.981818181826</v>
      </c>
      <c r="E20" s="51">
        <f t="shared" si="1"/>
        <v>4.4882770487387758E-2</v>
      </c>
      <c r="G20" s="48">
        <v>17</v>
      </c>
      <c r="H20" s="49">
        <f t="shared" si="2"/>
        <v>48300</v>
      </c>
      <c r="I20" s="50">
        <f t="shared" si="7"/>
        <v>23600.242424242424</v>
      </c>
      <c r="J20" s="51">
        <f t="shared" si="3"/>
        <v>5.0062156353565701E-2</v>
      </c>
      <c r="L20" s="48">
        <v>17</v>
      </c>
      <c r="M20" s="49">
        <f t="shared" si="4"/>
        <v>48300</v>
      </c>
      <c r="N20" s="50">
        <f t="shared" si="8"/>
        <v>64.697202308486609</v>
      </c>
      <c r="O20" s="51">
        <f t="shared" si="5"/>
        <v>4.8217648663384072E-2</v>
      </c>
    </row>
  </sheetData>
  <mergeCells count="3">
    <mergeCell ref="B2:E2"/>
    <mergeCell ref="G2:J2"/>
    <mergeCell ref="L2:O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8"/>
  <sheetViews>
    <sheetView topLeftCell="A43" workbookViewId="0">
      <selection activeCell="C55" sqref="C55"/>
    </sheetView>
  </sheetViews>
  <sheetFormatPr defaultRowHeight="14.5" x14ac:dyDescent="0.35"/>
  <cols>
    <col min="1" max="1" width="1.90625" style="8" customWidth="1"/>
    <col min="2" max="2" width="31.6328125" style="8" bestFit="1" customWidth="1"/>
    <col min="3" max="7" width="8.81640625" style="8" bestFit="1" customWidth="1"/>
    <col min="8" max="8" width="9.1796875" style="8" bestFit="1" customWidth="1"/>
    <col min="9" max="9" width="9.453125" style="8" customWidth="1"/>
    <col min="10" max="10" width="8.81640625" style="8" bestFit="1" customWidth="1"/>
    <col min="11" max="12" width="9.1796875" style="8" bestFit="1" customWidth="1"/>
    <col min="13" max="13" width="8.7265625" style="8"/>
    <col min="14" max="14" width="15.6328125" style="8" customWidth="1"/>
    <col min="15" max="16384" width="8.7265625" style="8"/>
  </cols>
  <sheetData>
    <row r="1" spans="2:12" ht="18.5" x14ac:dyDescent="0.45">
      <c r="B1" s="108" t="s">
        <v>205</v>
      </c>
    </row>
    <row r="3" spans="2:12" ht="15" thickBot="1" x14ac:dyDescent="0.4">
      <c r="B3" s="119" t="s">
        <v>222</v>
      </c>
      <c r="C3" s="120">
        <f>D3-365</f>
        <v>42431</v>
      </c>
      <c r="D3" s="120">
        <f>E3-365</f>
        <v>42796</v>
      </c>
      <c r="E3" s="120">
        <f>F3-365</f>
        <v>43161</v>
      </c>
      <c r="F3" s="120">
        <f>G3-365</f>
        <v>43526</v>
      </c>
      <c r="G3" s="120">
        <f>H3-365</f>
        <v>43891</v>
      </c>
      <c r="H3" s="120">
        <f>FCFF!C$3</f>
        <v>44256</v>
      </c>
      <c r="I3" s="120">
        <f>FCFF!D$3</f>
        <v>44621</v>
      </c>
      <c r="J3" s="120">
        <f>FCFF!E$3</f>
        <v>44986</v>
      </c>
      <c r="K3" s="120">
        <f>FCFF!F$3+31</f>
        <v>45382</v>
      </c>
      <c r="L3" s="120">
        <f>FCFF!G$3 +31</f>
        <v>45747</v>
      </c>
    </row>
    <row r="5" spans="2:12" x14ac:dyDescent="0.35">
      <c r="B5" s="11" t="s">
        <v>223</v>
      </c>
      <c r="C5" s="109"/>
      <c r="D5" s="109"/>
      <c r="E5" s="109"/>
      <c r="F5" s="109"/>
      <c r="G5" s="109"/>
      <c r="H5" s="109"/>
      <c r="I5" s="109"/>
      <c r="J5" s="109"/>
      <c r="K5" s="109"/>
      <c r="L5" s="109"/>
    </row>
    <row r="6" spans="2:12" x14ac:dyDescent="0.35">
      <c r="B6" s="8" t="str">
        <f>'Raw BS data'!B31</f>
        <v>Inventories</v>
      </c>
      <c r="C6" s="137">
        <f>'Raw BS data'!E31</f>
        <v>2726</v>
      </c>
      <c r="D6" s="137">
        <f>'Raw BS data'!F31</f>
        <v>2541</v>
      </c>
      <c r="E6" s="137">
        <f>'Raw BS data'!G31</f>
        <v>2513</v>
      </c>
      <c r="F6" s="137">
        <f>'Raw BS data'!H31</f>
        <v>2574</v>
      </c>
      <c r="G6" s="137">
        <f>'Raw BS data'!I31</f>
        <v>2767</v>
      </c>
      <c r="H6" s="137">
        <f>'Raw BS data'!J31</f>
        <v>3579</v>
      </c>
      <c r="I6" s="137">
        <f>'Raw BS data'!K31</f>
        <v>4096</v>
      </c>
      <c r="J6" s="137">
        <f>'Raw BS data'!L31</f>
        <v>4251</v>
      </c>
      <c r="K6" s="137">
        <f>'Raw BS data'!M31</f>
        <v>4022</v>
      </c>
      <c r="L6" s="137">
        <f>'Raw BS data'!N31</f>
        <v>4415</v>
      </c>
    </row>
    <row r="7" spans="2:12" x14ac:dyDescent="0.35">
      <c r="B7" s="8" t="str">
        <f>'Raw BS data'!B32</f>
        <v xml:space="preserve">Trade receivables </v>
      </c>
      <c r="C7" s="137">
        <f>'Raw BS data'!E32</f>
        <v>1264</v>
      </c>
      <c r="D7" s="137">
        <f>'Raw BS data'!F32</f>
        <v>1085</v>
      </c>
      <c r="E7" s="137">
        <f>'Raw BS data'!G32</f>
        <v>1310</v>
      </c>
      <c r="F7" s="137">
        <f>'Raw BS data'!H32</f>
        <v>1816</v>
      </c>
      <c r="G7" s="137">
        <f>'Raw BS data'!I32</f>
        <v>1149</v>
      </c>
      <c r="H7" s="137">
        <f>'Raw BS data'!J32</f>
        <v>1758</v>
      </c>
      <c r="I7" s="137">
        <f>'Raw BS data'!K32</f>
        <v>2236</v>
      </c>
      <c r="J7" s="137">
        <f>'Raw BS data'!L32</f>
        <v>3079</v>
      </c>
      <c r="K7" s="137">
        <f>'Raw BS data'!M32</f>
        <v>2997</v>
      </c>
      <c r="L7" s="137">
        <f>'Raw BS data'!N32</f>
        <v>3819</v>
      </c>
    </row>
    <row r="8" spans="2:12" x14ac:dyDescent="0.35">
      <c r="B8" s="8" t="str">
        <f>'Raw BS data'!B34</f>
        <v>Loans n Advances</v>
      </c>
      <c r="C8" s="137">
        <f>'Raw BS data'!E34</f>
        <v>0</v>
      </c>
      <c r="D8" s="137">
        <f>'Raw BS data'!F34</f>
        <v>71</v>
      </c>
      <c r="E8" s="137">
        <f>'Raw BS data'!G34</f>
        <v>40</v>
      </c>
      <c r="F8" s="137">
        <f>'Raw BS data'!H34</f>
        <v>26</v>
      </c>
      <c r="G8" s="137">
        <f>'Raw BS data'!I34</f>
        <v>19</v>
      </c>
      <c r="H8" s="137">
        <f>'Raw BS data'!J34</f>
        <v>78</v>
      </c>
      <c r="I8" s="137">
        <f>'Raw BS data'!K34</f>
        <v>170</v>
      </c>
      <c r="J8" s="137">
        <f>'Raw BS data'!L34</f>
        <v>188</v>
      </c>
      <c r="K8" s="137">
        <f>'Raw BS data'!M34</f>
        <v>172</v>
      </c>
      <c r="L8" s="137">
        <f>'Raw BS data'!N34</f>
        <v>896</v>
      </c>
    </row>
    <row r="9" spans="2:12" x14ac:dyDescent="0.35">
      <c r="B9" s="8" t="str">
        <f>'Raw BS data'!B35</f>
        <v>Other asset items</v>
      </c>
      <c r="C9" s="137">
        <f>'Raw BS data'!E35</f>
        <v>1536</v>
      </c>
      <c r="D9" s="137">
        <f>'Raw BS data'!F35</f>
        <v>1739</v>
      </c>
      <c r="E9" s="137">
        <f>'Raw BS data'!G35</f>
        <v>2652</v>
      </c>
      <c r="F9" s="137">
        <f>'Raw BS data'!H35</f>
        <v>2619</v>
      </c>
      <c r="G9" s="137">
        <f>'Raw BS data'!I35</f>
        <v>3774</v>
      </c>
      <c r="H9" s="137">
        <f>'Raw BS data'!J35</f>
        <v>3957</v>
      </c>
      <c r="I9" s="137">
        <f>'Raw BS data'!K35</f>
        <v>3851</v>
      </c>
      <c r="J9" s="137">
        <f>'Raw BS data'!L35</f>
        <v>4189</v>
      </c>
      <c r="K9" s="137">
        <f>'Raw BS data'!M35</f>
        <v>4345</v>
      </c>
      <c r="L9" s="137">
        <f>'Raw BS data'!N35</f>
        <v>4042</v>
      </c>
    </row>
    <row r="10" spans="2:12" x14ac:dyDescent="0.35">
      <c r="B10" s="115" t="s">
        <v>224</v>
      </c>
      <c r="C10" s="139">
        <f t="shared" ref="C10:G10" si="0">SUM(C6:C9)</f>
        <v>5526</v>
      </c>
      <c r="D10" s="139">
        <f t="shared" si="0"/>
        <v>5436</v>
      </c>
      <c r="E10" s="139">
        <f t="shared" si="0"/>
        <v>6515</v>
      </c>
      <c r="F10" s="139">
        <f t="shared" si="0"/>
        <v>7035</v>
      </c>
      <c r="G10" s="139">
        <f t="shared" si="0"/>
        <v>7709</v>
      </c>
      <c r="H10" s="139">
        <f>SUM(H6:H9)</f>
        <v>9372</v>
      </c>
      <c r="I10" s="139">
        <f t="shared" ref="I10:L10" si="1">SUM(I6:I9)</f>
        <v>10353</v>
      </c>
      <c r="J10" s="139">
        <f t="shared" si="1"/>
        <v>11707</v>
      </c>
      <c r="K10" s="139">
        <f t="shared" si="1"/>
        <v>11536</v>
      </c>
      <c r="L10" s="139">
        <f t="shared" si="1"/>
        <v>13172</v>
      </c>
    </row>
    <row r="11" spans="2:12" x14ac:dyDescent="0.35">
      <c r="C11" s="137"/>
      <c r="D11" s="137"/>
      <c r="E11" s="137"/>
      <c r="F11" s="137"/>
      <c r="G11" s="137"/>
      <c r="H11" s="137"/>
      <c r="I11" s="137"/>
      <c r="J11" s="137"/>
      <c r="K11" s="137"/>
      <c r="L11" s="137"/>
    </row>
    <row r="12" spans="2:12" x14ac:dyDescent="0.35">
      <c r="B12" s="11" t="s">
        <v>225</v>
      </c>
      <c r="C12" s="137"/>
      <c r="D12" s="137"/>
      <c r="E12" s="137"/>
      <c r="F12" s="137"/>
      <c r="G12" s="137"/>
      <c r="H12" s="137"/>
      <c r="I12" s="137"/>
      <c r="J12" s="137"/>
      <c r="K12" s="137"/>
      <c r="L12" s="137"/>
    </row>
    <row r="13" spans="2:12" x14ac:dyDescent="0.35">
      <c r="B13" s="8" t="str">
        <f>'Raw BS data'!B9</f>
        <v>Trade Payables</v>
      </c>
      <c r="C13" s="137">
        <f>'Raw BS data'!E9</f>
        <v>5685</v>
      </c>
      <c r="D13" s="137">
        <f>'Raw BS data'!F9</f>
        <v>6186</v>
      </c>
      <c r="E13" s="137">
        <f>'Raw BS data'!G9</f>
        <v>7170</v>
      </c>
      <c r="F13" s="137">
        <f>'Raw BS data'!H9</f>
        <v>7206</v>
      </c>
      <c r="G13" s="137">
        <f>'Raw BS data'!I9</f>
        <v>7535</v>
      </c>
      <c r="H13" s="137">
        <f>'Raw BS data'!J9</f>
        <v>8802</v>
      </c>
      <c r="I13" s="137">
        <f>'Raw BS data'!K9</f>
        <v>9068</v>
      </c>
      <c r="J13" s="137">
        <f>'Raw BS data'!L9</f>
        <v>9574</v>
      </c>
      <c r="K13" s="137">
        <f>'Raw BS data'!M9</f>
        <v>10486</v>
      </c>
      <c r="L13" s="137">
        <f>'Raw BS data'!N9</f>
        <v>11315</v>
      </c>
    </row>
    <row r="14" spans="2:12" x14ac:dyDescent="0.35">
      <c r="B14" s="8" t="str">
        <f>'Raw BS data'!B10</f>
        <v>Advance from Customers</v>
      </c>
      <c r="C14" s="137">
        <f>'Raw BS data'!E10</f>
        <v>45</v>
      </c>
      <c r="D14" s="137">
        <f>'Raw BS data'!F10</f>
        <v>78</v>
      </c>
      <c r="E14" s="137">
        <f>'Raw BS data'!G10</f>
        <v>62</v>
      </c>
      <c r="F14" s="137">
        <f>'Raw BS data'!H10</f>
        <v>43</v>
      </c>
      <c r="G14" s="137">
        <f>'Raw BS data'!I10</f>
        <v>158</v>
      </c>
      <c r="H14" s="137">
        <f>'Raw BS data'!J10</f>
        <v>96</v>
      </c>
      <c r="I14" s="137">
        <f>'Raw BS data'!K10</f>
        <v>119</v>
      </c>
      <c r="J14" s="137">
        <f>'Raw BS data'!L10</f>
        <v>98</v>
      </c>
      <c r="K14" s="137">
        <f>'Raw BS data'!M10</f>
        <v>91</v>
      </c>
      <c r="L14" s="137">
        <f>'Raw BS data'!N10</f>
        <v>0</v>
      </c>
    </row>
    <row r="15" spans="2:12" x14ac:dyDescent="0.35">
      <c r="B15" s="8" t="str">
        <f>'Raw BS data'!B11</f>
        <v>Other liability items</v>
      </c>
      <c r="C15" s="137">
        <f>'Raw BS data'!E11</f>
        <v>2293</v>
      </c>
      <c r="D15" s="137">
        <f>'Raw BS data'!F11</f>
        <v>2399</v>
      </c>
      <c r="E15" s="137">
        <f>'Raw BS data'!G11</f>
        <v>3329</v>
      </c>
      <c r="F15" s="137">
        <f>'Raw BS data'!H11</f>
        <v>3396</v>
      </c>
      <c r="G15" s="137">
        <f>'Raw BS data'!I11</f>
        <v>4214</v>
      </c>
      <c r="H15" s="137">
        <f>'Raw BS data'!J11</f>
        <v>12148</v>
      </c>
      <c r="I15" s="137">
        <f>'Raw BS data'!K11</f>
        <v>11189</v>
      </c>
      <c r="J15" s="137">
        <f>'Raw BS data'!L11</f>
        <v>11664</v>
      </c>
      <c r="K15" s="137">
        <f>'Raw BS data'!M11</f>
        <v>15005</v>
      </c>
      <c r="L15" s="137">
        <f>'Raw BS data'!N11</f>
        <v>17308</v>
      </c>
    </row>
    <row r="16" spans="2:12" x14ac:dyDescent="0.35">
      <c r="B16" s="115" t="s">
        <v>226</v>
      </c>
      <c r="C16" s="139">
        <f t="shared" ref="C16:G16" si="2">SUM(C13:C15)</f>
        <v>8023</v>
      </c>
      <c r="D16" s="139">
        <f t="shared" si="2"/>
        <v>8663</v>
      </c>
      <c r="E16" s="139">
        <f t="shared" si="2"/>
        <v>10561</v>
      </c>
      <c r="F16" s="139">
        <f t="shared" si="2"/>
        <v>10645</v>
      </c>
      <c r="G16" s="139">
        <f t="shared" si="2"/>
        <v>11907</v>
      </c>
      <c r="H16" s="139">
        <f>SUM(H13:H15)</f>
        <v>21046</v>
      </c>
      <c r="I16" s="139">
        <f t="shared" ref="I16:L16" si="3">SUM(I13:I15)</f>
        <v>20376</v>
      </c>
      <c r="J16" s="139">
        <f t="shared" si="3"/>
        <v>21336</v>
      </c>
      <c r="K16" s="139">
        <f t="shared" si="3"/>
        <v>25582</v>
      </c>
      <c r="L16" s="139">
        <f t="shared" si="3"/>
        <v>28623</v>
      </c>
    </row>
    <row r="17" spans="1:13" x14ac:dyDescent="0.35">
      <c r="C17" s="137"/>
      <c r="D17" s="137"/>
      <c r="E17" s="137"/>
      <c r="F17" s="137"/>
      <c r="G17" s="137"/>
      <c r="H17" s="137"/>
      <c r="I17" s="137"/>
      <c r="J17" s="137"/>
      <c r="K17" s="137"/>
      <c r="L17" s="137"/>
    </row>
    <row r="18" spans="1:13" x14ac:dyDescent="0.35">
      <c r="A18" s="11" t="s">
        <v>56</v>
      </c>
      <c r="B18" s="115" t="s">
        <v>227</v>
      </c>
      <c r="C18" s="139">
        <f>C10-C16</f>
        <v>-2497</v>
      </c>
      <c r="D18" s="139">
        <f t="shared" ref="D18:G18" si="4">D10-D16</f>
        <v>-3227</v>
      </c>
      <c r="E18" s="139">
        <f t="shared" si="4"/>
        <v>-4046</v>
      </c>
      <c r="F18" s="139">
        <f t="shared" si="4"/>
        <v>-3610</v>
      </c>
      <c r="G18" s="139">
        <f t="shared" si="4"/>
        <v>-4198</v>
      </c>
      <c r="H18" s="139">
        <f>H10-H16</f>
        <v>-11674</v>
      </c>
      <c r="I18" s="139">
        <f t="shared" ref="I18:L18" si="5">I10-I16</f>
        <v>-10023</v>
      </c>
      <c r="J18" s="139">
        <f t="shared" si="5"/>
        <v>-9629</v>
      </c>
      <c r="K18" s="139">
        <f t="shared" si="5"/>
        <v>-14046</v>
      </c>
      <c r="L18" s="139">
        <f t="shared" si="5"/>
        <v>-15451</v>
      </c>
    </row>
    <row r="19" spans="1:13" x14ac:dyDescent="0.35">
      <c r="C19" s="137"/>
      <c r="D19" s="137"/>
      <c r="E19" s="137"/>
      <c r="F19" s="137"/>
      <c r="G19" s="137"/>
      <c r="H19" s="137"/>
      <c r="I19" s="137"/>
      <c r="J19" s="137"/>
      <c r="K19" s="137"/>
      <c r="L19" s="137"/>
    </row>
    <row r="20" spans="1:13" x14ac:dyDescent="0.35">
      <c r="B20" s="11" t="s">
        <v>228</v>
      </c>
      <c r="C20" s="137"/>
      <c r="D20" s="137"/>
      <c r="E20" s="137"/>
      <c r="F20" s="137"/>
      <c r="G20" s="137"/>
      <c r="H20" s="137"/>
      <c r="I20" s="137"/>
      <c r="J20" s="137"/>
      <c r="K20" s="137"/>
      <c r="L20" s="137"/>
    </row>
    <row r="21" spans="1:13" x14ac:dyDescent="0.35">
      <c r="B21" s="11" t="str">
        <f>'Raw BS data'!B14</f>
        <v>Fixed Assets -</v>
      </c>
      <c r="C21" s="137"/>
      <c r="D21" s="137"/>
      <c r="E21" s="137"/>
      <c r="F21" s="137"/>
      <c r="G21" s="137"/>
      <c r="H21" s="137"/>
      <c r="I21" s="137"/>
      <c r="J21" s="137"/>
      <c r="K21" s="137"/>
      <c r="L21" s="137"/>
    </row>
    <row r="22" spans="1:13" x14ac:dyDescent="0.35">
      <c r="B22" s="8" t="str">
        <f>'Raw BS data'!B15</f>
        <v>Land</v>
      </c>
      <c r="C22" s="137">
        <f>'Raw BS data'!E15</f>
        <v>88</v>
      </c>
      <c r="D22" s="137">
        <f>'Raw BS data'!F15</f>
        <v>89</v>
      </c>
      <c r="E22" s="137">
        <f>'Raw BS data'!G15</f>
        <v>87</v>
      </c>
      <c r="F22" s="137">
        <f>'Raw BS data'!H15</f>
        <v>86</v>
      </c>
      <c r="G22" s="137">
        <f>'Raw BS data'!I15</f>
        <v>59</v>
      </c>
      <c r="H22" s="137">
        <f>'Raw BS data'!J15</f>
        <v>477</v>
      </c>
      <c r="I22" s="137">
        <f>'Raw BS data'!K15</f>
        <v>477</v>
      </c>
      <c r="J22" s="137">
        <f>'Raw BS data'!L15</f>
        <v>609</v>
      </c>
      <c r="K22" s="137">
        <f>'Raw BS data'!M15</f>
        <v>618</v>
      </c>
      <c r="L22" s="137">
        <f>'Raw BS data'!N15</f>
        <v>0</v>
      </c>
      <c r="M22" s="109"/>
    </row>
    <row r="23" spans="1:13" x14ac:dyDescent="0.35">
      <c r="B23" s="8" t="str">
        <f>'Raw BS data'!B16</f>
        <v>Building</v>
      </c>
      <c r="C23" s="137">
        <f>'Raw BS data'!E16</f>
        <v>931</v>
      </c>
      <c r="D23" s="137">
        <f>'Raw BS data'!F16</f>
        <v>1210</v>
      </c>
      <c r="E23" s="137">
        <f>'Raw BS data'!G16</f>
        <v>1343</v>
      </c>
      <c r="F23" s="137">
        <f>'Raw BS data'!H16</f>
        <v>1527</v>
      </c>
      <c r="G23" s="137">
        <f>'Raw BS data'!I16</f>
        <v>2044</v>
      </c>
      <c r="H23" s="137">
        <f>'Raw BS data'!J16</f>
        <v>2602</v>
      </c>
      <c r="I23" s="137">
        <f>'Raw BS data'!K16</f>
        <v>2788</v>
      </c>
      <c r="J23" s="137">
        <f>'Raw BS data'!L16</f>
        <v>3101</v>
      </c>
      <c r="K23" s="137">
        <f>'Raw BS data'!M16</f>
        <v>3518</v>
      </c>
      <c r="L23" s="137">
        <f>'Raw BS data'!N16</f>
        <v>0</v>
      </c>
    </row>
    <row r="24" spans="1:13" x14ac:dyDescent="0.35">
      <c r="B24" s="8" t="str">
        <f>'Raw BS data'!B17</f>
        <v>Plant Machinery</v>
      </c>
      <c r="C24" s="137">
        <f>'Raw BS data'!E17</f>
        <v>2370</v>
      </c>
      <c r="D24" s="137">
        <f>'Raw BS data'!F17</f>
        <v>3270</v>
      </c>
      <c r="E24" s="137">
        <f>'Raw BS data'!G17</f>
        <v>3691</v>
      </c>
      <c r="F24" s="137">
        <f>'Raw BS data'!H17</f>
        <v>4092</v>
      </c>
      <c r="G24" s="137">
        <f>'Raw BS data'!I17</f>
        <v>5001</v>
      </c>
      <c r="H24" s="137">
        <f>'Raw BS data'!J17</f>
        <v>6097</v>
      </c>
      <c r="I24" s="137">
        <f>'Raw BS data'!K17</f>
        <v>6566</v>
      </c>
      <c r="J24" s="137">
        <f>'Raw BS data'!L17</f>
        <v>7612</v>
      </c>
      <c r="K24" s="137">
        <f>'Raw BS data'!M17</f>
        <v>8832</v>
      </c>
      <c r="L24" s="137">
        <f>'Raw BS data'!N17</f>
        <v>0</v>
      </c>
    </row>
    <row r="25" spans="1:13" x14ac:dyDescent="0.35">
      <c r="B25" s="8" t="str">
        <f>'Raw BS data'!B18</f>
        <v>Equipments</v>
      </c>
      <c r="C25" s="137">
        <f>'Raw BS data'!E18</f>
        <v>41</v>
      </c>
      <c r="D25" s="137">
        <f>'Raw BS data'!F18</f>
        <v>62</v>
      </c>
      <c r="E25" s="137">
        <f>'Raw BS data'!G18</f>
        <v>74</v>
      </c>
      <c r="F25" s="137">
        <f>'Raw BS data'!H18</f>
        <v>95</v>
      </c>
      <c r="G25" s="137">
        <f>'Raw BS data'!I18</f>
        <v>139</v>
      </c>
      <c r="H25" s="137">
        <f>'Raw BS data'!J18</f>
        <v>175</v>
      </c>
      <c r="I25" s="137">
        <f>'Raw BS data'!K18</f>
        <v>181</v>
      </c>
      <c r="J25" s="137">
        <f>'Raw BS data'!L18</f>
        <v>185</v>
      </c>
      <c r="K25" s="137">
        <f>'Raw BS data'!M18</f>
        <v>206</v>
      </c>
      <c r="L25" s="137">
        <f>'Raw BS data'!N18</f>
        <v>0</v>
      </c>
    </row>
    <row r="26" spans="1:13" x14ac:dyDescent="0.35">
      <c r="B26" s="8" t="str">
        <f>'Raw BS data'!B19</f>
        <v>Furniture n fittings</v>
      </c>
      <c r="C26" s="137">
        <f>'Raw BS data'!E19</f>
        <v>61</v>
      </c>
      <c r="D26" s="137">
        <f>'Raw BS data'!F19</f>
        <v>66</v>
      </c>
      <c r="E26" s="137">
        <f>'Raw BS data'!G19</f>
        <v>76</v>
      </c>
      <c r="F26" s="137">
        <f>'Raw BS data'!H19</f>
        <v>88</v>
      </c>
      <c r="G26" s="137">
        <f>'Raw BS data'!I19</f>
        <v>154</v>
      </c>
      <c r="H26" s="137">
        <f>'Raw BS data'!J19</f>
        <v>156</v>
      </c>
      <c r="I26" s="137">
        <f>'Raw BS data'!K19</f>
        <v>152</v>
      </c>
      <c r="J26" s="137">
        <f>'Raw BS data'!L19</f>
        <v>161</v>
      </c>
      <c r="K26" s="137">
        <f>'Raw BS data'!M19</f>
        <v>165</v>
      </c>
      <c r="L26" s="137">
        <f>'Raw BS data'!N19</f>
        <v>0</v>
      </c>
    </row>
    <row r="27" spans="1:13" x14ac:dyDescent="0.35">
      <c r="B27" s="8" t="str">
        <f>'Raw BS data'!B20</f>
        <v>Railway sidings</v>
      </c>
      <c r="C27" s="137">
        <f>'Raw BS data'!E20</f>
        <v>0</v>
      </c>
      <c r="D27" s="137">
        <f>'Raw BS data'!F20</f>
        <v>0</v>
      </c>
      <c r="E27" s="137">
        <f>'Raw BS data'!G20</f>
        <v>0</v>
      </c>
      <c r="F27" s="137">
        <f>'Raw BS data'!H20</f>
        <v>0</v>
      </c>
      <c r="G27" s="137">
        <f>'Raw BS data'!I20</f>
        <v>0</v>
      </c>
      <c r="H27" s="137">
        <f>'Raw BS data'!J20</f>
        <v>0</v>
      </c>
      <c r="I27" s="137">
        <f>'Raw BS data'!K20</f>
        <v>0</v>
      </c>
      <c r="J27" s="137">
        <f>'Raw BS data'!L20</f>
        <v>0</v>
      </c>
      <c r="K27" s="137">
        <f>'Raw BS data'!M20</f>
        <v>0</v>
      </c>
      <c r="L27" s="137">
        <f>'Raw BS data'!N20</f>
        <v>0</v>
      </c>
    </row>
    <row r="28" spans="1:13" x14ac:dyDescent="0.35">
      <c r="B28" s="8" t="str">
        <f>'Raw BS data'!B21</f>
        <v>Vehicles</v>
      </c>
      <c r="C28" s="137">
        <f>'Raw BS data'!E21</f>
        <v>0</v>
      </c>
      <c r="D28" s="137">
        <f>'Raw BS data'!F21</f>
        <v>0</v>
      </c>
      <c r="E28" s="137">
        <f>'Raw BS data'!G21</f>
        <v>0</v>
      </c>
      <c r="F28" s="137">
        <f>'Raw BS data'!H21</f>
        <v>0</v>
      </c>
      <c r="G28" s="137">
        <f>'Raw BS data'!I21</f>
        <v>0</v>
      </c>
      <c r="H28" s="137">
        <f>'Raw BS data'!J21</f>
        <v>0</v>
      </c>
      <c r="I28" s="137">
        <f>'Raw BS data'!K21</f>
        <v>0</v>
      </c>
      <c r="J28" s="137">
        <f>'Raw BS data'!L21</f>
        <v>33</v>
      </c>
      <c r="K28" s="137">
        <f>'Raw BS data'!M21</f>
        <v>37</v>
      </c>
      <c r="L28" s="137">
        <f>'Raw BS data'!N21</f>
        <v>0</v>
      </c>
    </row>
    <row r="29" spans="1:13" x14ac:dyDescent="0.35">
      <c r="B29" s="8" t="str">
        <f>'Raw BS data'!B22</f>
        <v>Intangible Assets</v>
      </c>
      <c r="C29" s="137">
        <f>'Raw BS data'!E22</f>
        <v>85</v>
      </c>
      <c r="D29" s="137">
        <f>'Raw BS data'!F22</f>
        <v>455</v>
      </c>
      <c r="E29" s="137">
        <f>'Raw BS data'!G22</f>
        <v>455</v>
      </c>
      <c r="F29" s="137">
        <f>'Raw BS data'!H22</f>
        <v>511</v>
      </c>
      <c r="G29" s="137">
        <f>'Raw BS data'!I22</f>
        <v>511</v>
      </c>
      <c r="H29" s="137">
        <f>'Raw BS data'!J22</f>
        <v>45262</v>
      </c>
      <c r="I29" s="137">
        <f>'Raw BS data'!K22</f>
        <v>45262</v>
      </c>
      <c r="J29" s="137">
        <f>'Raw BS data'!L22</f>
        <v>45692</v>
      </c>
      <c r="K29" s="137">
        <f>'Raw BS data'!M22</f>
        <v>45692</v>
      </c>
      <c r="L29" s="137">
        <f>'Raw BS data'!N22</f>
        <v>45710</v>
      </c>
    </row>
    <row r="30" spans="1:13" x14ac:dyDescent="0.35">
      <c r="B30" s="8" t="str">
        <f>'Raw BS data'!B23</f>
        <v>Other fixed assets</v>
      </c>
      <c r="C30" s="137">
        <f>'Raw BS data'!E23</f>
        <v>19</v>
      </c>
      <c r="D30" s="137">
        <f>'Raw BS data'!F23</f>
        <v>19</v>
      </c>
      <c r="E30" s="137">
        <f>'Raw BS data'!G23</f>
        <v>26</v>
      </c>
      <c r="F30" s="137">
        <f>'Raw BS data'!H23</f>
        <v>60</v>
      </c>
      <c r="G30" s="137">
        <f>'Raw BS data'!I23</f>
        <v>71</v>
      </c>
      <c r="H30" s="137">
        <f>'Raw BS data'!J23</f>
        <v>155</v>
      </c>
      <c r="I30" s="137">
        <f>'Raw BS data'!K23</f>
        <v>152</v>
      </c>
      <c r="J30" s="137">
        <f>'Raw BS data'!L23</f>
        <v>171</v>
      </c>
      <c r="K30" s="137">
        <f>'Raw BS data'!M23</f>
        <v>180</v>
      </c>
      <c r="L30" s="137">
        <f>'Raw BS data'!N23</f>
        <v>185</v>
      </c>
    </row>
    <row r="31" spans="1:13" x14ac:dyDescent="0.35">
      <c r="B31" s="11" t="str">
        <f>'Raw BS data'!B24</f>
        <v>Gross Block</v>
      </c>
      <c r="C31" s="137">
        <f>'Raw BS data'!E24</f>
        <v>3595</v>
      </c>
      <c r="D31" s="137">
        <f>'Raw BS data'!F24</f>
        <v>5171</v>
      </c>
      <c r="E31" s="137">
        <f>'Raw BS data'!G24</f>
        <v>5752</v>
      </c>
      <c r="F31" s="137">
        <f>'Raw BS data'!H24</f>
        <v>6459</v>
      </c>
      <c r="G31" s="137">
        <f>'Raw BS data'!I24</f>
        <v>7979</v>
      </c>
      <c r="H31" s="137">
        <f>'Raw BS data'!J24</f>
        <v>54924</v>
      </c>
      <c r="I31" s="137">
        <f>'Raw BS data'!K24</f>
        <v>55578</v>
      </c>
      <c r="J31" s="137">
        <f>'Raw BS data'!L24</f>
        <v>57564</v>
      </c>
      <c r="K31" s="137">
        <f>'Raw BS data'!M24</f>
        <v>59248</v>
      </c>
      <c r="L31" s="137">
        <f>'Raw BS data'!N24</f>
        <v>61248</v>
      </c>
    </row>
    <row r="32" spans="1:13" x14ac:dyDescent="0.35">
      <c r="B32" s="11" t="str">
        <f>'Raw BS data'!B25</f>
        <v>Accumulated Depreciation</v>
      </c>
      <c r="C32" s="137">
        <f>-'Raw BS data'!E25</f>
        <v>-337</v>
      </c>
      <c r="D32" s="137">
        <f>-'Raw BS data'!F25</f>
        <v>-752</v>
      </c>
      <c r="E32" s="137">
        <f>-'Raw BS data'!G25</f>
        <v>-1224</v>
      </c>
      <c r="F32" s="137">
        <f>-'Raw BS data'!H25</f>
        <v>-1744</v>
      </c>
      <c r="G32" s="137">
        <f>-'Raw BS data'!I25</f>
        <v>-2500</v>
      </c>
      <c r="H32" s="137">
        <f>-'Raw BS data'!J25</f>
        <v>-3481</v>
      </c>
      <c r="I32" s="137">
        <f>-'Raw BS data'!K25</f>
        <v>-4105</v>
      </c>
      <c r="J32" s="137">
        <f>-'Raw BS data'!L25</f>
        <v>-4886</v>
      </c>
      <c r="K32" s="137">
        <f>-'Raw BS data'!M25</f>
        <v>-5504</v>
      </c>
      <c r="L32" s="137">
        <f>-'Raw BS data'!N25</f>
        <v>-6004</v>
      </c>
    </row>
    <row r="33" spans="2:12" x14ac:dyDescent="0.35">
      <c r="B33" s="115" t="s">
        <v>241</v>
      </c>
      <c r="C33" s="139">
        <f t="shared" ref="C33:G33" si="6">C31+C32</f>
        <v>3258</v>
      </c>
      <c r="D33" s="139">
        <f t="shared" si="6"/>
        <v>4419</v>
      </c>
      <c r="E33" s="139">
        <f t="shared" si="6"/>
        <v>4528</v>
      </c>
      <c r="F33" s="139">
        <f t="shared" si="6"/>
        <v>4715</v>
      </c>
      <c r="G33" s="139">
        <f t="shared" si="6"/>
        <v>5479</v>
      </c>
      <c r="H33" s="139">
        <f>H31+H32</f>
        <v>51443</v>
      </c>
      <c r="I33" s="139">
        <f t="shared" ref="I33:L33" si="7">I31+I32</f>
        <v>51473</v>
      </c>
      <c r="J33" s="139">
        <f t="shared" si="7"/>
        <v>52678</v>
      </c>
      <c r="K33" s="139">
        <f t="shared" si="7"/>
        <v>53744</v>
      </c>
      <c r="L33" s="139">
        <f t="shared" si="7"/>
        <v>55244</v>
      </c>
    </row>
    <row r="34" spans="2:12" x14ac:dyDescent="0.35">
      <c r="B34" s="11"/>
      <c r="C34" s="137"/>
      <c r="D34" s="137"/>
      <c r="E34" s="137"/>
      <c r="F34" s="137"/>
      <c r="G34" s="137"/>
      <c r="H34" s="137"/>
      <c r="I34" s="137"/>
      <c r="J34" s="137"/>
      <c r="K34" s="137"/>
      <c r="L34" s="137"/>
    </row>
    <row r="35" spans="2:12" x14ac:dyDescent="0.35">
      <c r="B35" s="115" t="s">
        <v>254</v>
      </c>
      <c r="C35" s="139">
        <f>C33+C18</f>
        <v>761</v>
      </c>
      <c r="D35" s="139">
        <f t="shared" ref="D35:L35" si="8">D33+D18</f>
        <v>1192</v>
      </c>
      <c r="E35" s="139">
        <f t="shared" si="8"/>
        <v>482</v>
      </c>
      <c r="F35" s="139">
        <f t="shared" si="8"/>
        <v>1105</v>
      </c>
      <c r="G35" s="139">
        <f t="shared" si="8"/>
        <v>1281</v>
      </c>
      <c r="H35" s="139">
        <f t="shared" si="8"/>
        <v>39769</v>
      </c>
      <c r="I35" s="139">
        <f t="shared" si="8"/>
        <v>41450</v>
      </c>
      <c r="J35" s="139">
        <f t="shared" si="8"/>
        <v>43049</v>
      </c>
      <c r="K35" s="139">
        <f t="shared" si="8"/>
        <v>39698</v>
      </c>
      <c r="L35" s="139">
        <f t="shared" si="8"/>
        <v>39793</v>
      </c>
    </row>
    <row r="36" spans="2:12" x14ac:dyDescent="0.35">
      <c r="B36" s="8" t="s">
        <v>167</v>
      </c>
      <c r="C36" s="137">
        <f>HistoricalFS!C25+HistoricalFS!C19</f>
        <v>5557</v>
      </c>
      <c r="D36" s="137">
        <f>HistoricalFS!D25+HistoricalFS!D19</f>
        <v>5896</v>
      </c>
      <c r="E36" s="137">
        <f>HistoricalFS!E25+HistoricalFS!E19</f>
        <v>6979</v>
      </c>
      <c r="F36" s="137">
        <f>HistoricalFS!F25+HistoricalFS!F19</f>
        <v>8315</v>
      </c>
      <c r="G36" s="137">
        <f>HistoricalFS!G25+HistoricalFS!G19</f>
        <v>8859</v>
      </c>
      <c r="H36" s="137">
        <f>HistoricalFS!H25+HistoricalFS!H19</f>
        <v>10552</v>
      </c>
      <c r="I36" s="137">
        <f>HistoricalFS!I25+HistoricalFS!I19</f>
        <v>11766</v>
      </c>
      <c r="J36" s="137">
        <f>HistoricalFS!J25+HistoricalFS!J19</f>
        <v>13010</v>
      </c>
      <c r="K36" s="137">
        <f>HistoricalFS!K25+HistoricalFS!K19</f>
        <v>13443</v>
      </c>
      <c r="L36" s="137">
        <f>HistoricalFS!L25+HistoricalFS!L19</f>
        <v>13488</v>
      </c>
    </row>
    <row r="37" spans="2:12" x14ac:dyDescent="0.35">
      <c r="B37" s="8" t="s">
        <v>246</v>
      </c>
      <c r="C37" s="128">
        <v>0.25</v>
      </c>
      <c r="D37" s="128">
        <v>0.25</v>
      </c>
      <c r="E37" s="128">
        <v>0.25</v>
      </c>
      <c r="F37" s="128">
        <v>0.25</v>
      </c>
      <c r="G37" s="128">
        <v>0.25</v>
      </c>
      <c r="H37" s="128">
        <v>0.25</v>
      </c>
      <c r="I37" s="128">
        <v>0.25</v>
      </c>
      <c r="J37" s="128">
        <v>0.25</v>
      </c>
      <c r="K37" s="128">
        <v>0.25</v>
      </c>
      <c r="L37" s="128">
        <v>0.25</v>
      </c>
    </row>
    <row r="38" spans="2:12" x14ac:dyDescent="0.35">
      <c r="B38" s="8" t="s">
        <v>169</v>
      </c>
      <c r="C38" s="137">
        <f t="shared" ref="C38" si="9">C36*(1-C37)</f>
        <v>4167.75</v>
      </c>
      <c r="D38" s="137">
        <f t="shared" ref="D38" si="10">D36*(1-D37)</f>
        <v>4422</v>
      </c>
      <c r="E38" s="137">
        <f t="shared" ref="E38" si="11">E36*(1-E37)</f>
        <v>5234.25</v>
      </c>
      <c r="F38" s="137">
        <f t="shared" ref="F38" si="12">F36*(1-F37)</f>
        <v>6236.25</v>
      </c>
      <c r="G38" s="137">
        <f t="shared" ref="G38" si="13">G36*(1-G37)</f>
        <v>6644.25</v>
      </c>
      <c r="H38" s="137">
        <f t="shared" ref="H38" si="14">H36*(1-H37)</f>
        <v>7914</v>
      </c>
      <c r="I38" s="137">
        <f t="shared" ref="I38" si="15">I36*(1-I37)</f>
        <v>8824.5</v>
      </c>
      <c r="J38" s="137">
        <f t="shared" ref="J38" si="16">J36*(1-J37)</f>
        <v>9757.5</v>
      </c>
      <c r="K38" s="137">
        <f t="shared" ref="K38" si="17">K36*(1-K37)</f>
        <v>10082.25</v>
      </c>
      <c r="L38" s="137">
        <f t="shared" ref="L38" si="18">L36*(1-L37)</f>
        <v>10116</v>
      </c>
    </row>
    <row r="40" spans="2:12" x14ac:dyDescent="0.35">
      <c r="B40" s="115" t="s">
        <v>242</v>
      </c>
      <c r="C40" s="118">
        <f>C38/C35</f>
        <v>5.4766754270696456</v>
      </c>
      <c r="D40" s="118">
        <f t="shared" ref="D40:L40" si="19">D38/D35</f>
        <v>3.7097315436241609</v>
      </c>
      <c r="E40" s="118">
        <f>E38/E35</f>
        <v>10.859439834024895</v>
      </c>
      <c r="F40" s="118">
        <f t="shared" si="19"/>
        <v>5.6436651583710411</v>
      </c>
      <c r="G40" s="118">
        <f t="shared" si="19"/>
        <v>5.1867681498829041</v>
      </c>
      <c r="H40" s="118">
        <f t="shared" si="19"/>
        <v>0.19899922049837812</v>
      </c>
      <c r="I40" s="118">
        <f t="shared" si="19"/>
        <v>0.21289505428226779</v>
      </c>
      <c r="J40" s="118">
        <f t="shared" si="19"/>
        <v>0.22666031731282957</v>
      </c>
      <c r="K40" s="118">
        <f t="shared" si="19"/>
        <v>0.25397375182628845</v>
      </c>
      <c r="L40" s="118">
        <f t="shared" si="19"/>
        <v>0.25421556555173019</v>
      </c>
    </row>
    <row r="43" spans="2:12" ht="15" thickBot="1" x14ac:dyDescent="0.4">
      <c r="B43" s="119" t="s">
        <v>243</v>
      </c>
      <c r="C43" s="120">
        <f>D43-365</f>
        <v>42431</v>
      </c>
      <c r="D43" s="120">
        <f>E43-365</f>
        <v>42796</v>
      </c>
      <c r="E43" s="120">
        <f>F43-365</f>
        <v>43161</v>
      </c>
      <c r="F43" s="120">
        <f>G43-365</f>
        <v>43526</v>
      </c>
      <c r="G43" s="120">
        <f>H43-365</f>
        <v>43891</v>
      </c>
      <c r="H43" s="120">
        <f>FCFF!C$3</f>
        <v>44256</v>
      </c>
      <c r="I43" s="120">
        <f>FCFF!D$3</f>
        <v>44621</v>
      </c>
      <c r="J43" s="120">
        <f>FCFF!E$3</f>
        <v>44986</v>
      </c>
      <c r="K43" s="120">
        <f>FCFF!F$3+31</f>
        <v>45382</v>
      </c>
      <c r="L43" s="120">
        <f>FCFF!G$3 +31</f>
        <v>45747</v>
      </c>
    </row>
    <row r="45" spans="2:12" x14ac:dyDescent="0.35">
      <c r="B45" s="8" t="s">
        <v>244</v>
      </c>
      <c r="C45" s="137">
        <f>-SUM('Raw Cash Flow Data'!E15,'Raw Cash Flow Data'!E16)</f>
        <v>711</v>
      </c>
      <c r="D45" s="137">
        <f>-SUM('Raw Cash Flow Data'!F15,'Raw Cash Flow Data'!F16)</f>
        <v>937</v>
      </c>
      <c r="E45" s="137">
        <f>-SUM('Raw Cash Flow Data'!G15,'Raw Cash Flow Data'!G16)</f>
        <v>863</v>
      </c>
      <c r="F45" s="137">
        <f>-SUM('Raw Cash Flow Data'!H15,'Raw Cash Flow Data'!H16)</f>
        <v>754</v>
      </c>
      <c r="G45" s="137">
        <f>-SUM('Raw Cash Flow Data'!I15,'Raw Cash Flow Data'!I16)</f>
        <v>810</v>
      </c>
      <c r="H45" s="137">
        <f>-SUM('Raw Cash Flow Data'!J15,'Raw Cash Flow Data'!J16)</f>
        <v>4066</v>
      </c>
      <c r="I45" s="137">
        <f>-SUM('Raw Cash Flow Data'!K15,'Raw Cash Flow Data'!K16)</f>
        <v>1053</v>
      </c>
      <c r="J45" s="137">
        <f>-SUM('Raw Cash Flow Data'!L15,'Raw Cash Flow Data'!L16)</f>
        <v>1011</v>
      </c>
      <c r="K45" s="137">
        <f>-SUM('Raw Cash Flow Data'!M15,'Raw Cash Flow Data'!M16)</f>
        <v>1457</v>
      </c>
      <c r="L45" s="137">
        <f>-SUM('Raw Cash Flow Data'!N15,'Raw Cash Flow Data'!N16)</f>
        <v>1262</v>
      </c>
    </row>
    <row r="46" spans="2:12" x14ac:dyDescent="0.35">
      <c r="B46" s="8" t="s">
        <v>245</v>
      </c>
      <c r="C46" s="138" t="s">
        <v>58</v>
      </c>
      <c r="D46" s="138">
        <f t="shared" ref="D46:I46" si="20">D18-C18</f>
        <v>-730</v>
      </c>
      <c r="E46" s="138">
        <f t="shared" si="20"/>
        <v>-819</v>
      </c>
      <c r="F46" s="138">
        <f t="shared" si="20"/>
        <v>436</v>
      </c>
      <c r="G46" s="138">
        <f t="shared" si="20"/>
        <v>-588</v>
      </c>
      <c r="H46" s="138">
        <f t="shared" si="20"/>
        <v>-7476</v>
      </c>
      <c r="I46" s="137">
        <f t="shared" si="20"/>
        <v>1651</v>
      </c>
      <c r="J46" s="137">
        <f t="shared" ref="J46:L46" si="21">J18-I18</f>
        <v>394</v>
      </c>
      <c r="K46" s="137">
        <f t="shared" si="21"/>
        <v>-4417</v>
      </c>
      <c r="L46" s="137">
        <f t="shared" si="21"/>
        <v>-1405</v>
      </c>
    </row>
    <row r="48" spans="2:12" x14ac:dyDescent="0.35">
      <c r="B48" s="8" t="s">
        <v>167</v>
      </c>
      <c r="C48" s="137">
        <f t="shared" ref="C48:G48" si="22">C36</f>
        <v>5557</v>
      </c>
      <c r="D48" s="137">
        <f t="shared" si="22"/>
        <v>5896</v>
      </c>
      <c r="E48" s="137">
        <f t="shared" si="22"/>
        <v>6979</v>
      </c>
      <c r="F48" s="137">
        <f t="shared" si="22"/>
        <v>8315</v>
      </c>
      <c r="G48" s="137">
        <f t="shared" si="22"/>
        <v>8859</v>
      </c>
      <c r="H48" s="137">
        <f>H36</f>
        <v>10552</v>
      </c>
      <c r="I48" s="137">
        <f t="shared" ref="I48:L48" si="23">I36</f>
        <v>11766</v>
      </c>
      <c r="J48" s="137">
        <f t="shared" si="23"/>
        <v>13010</v>
      </c>
      <c r="K48" s="137">
        <f t="shared" si="23"/>
        <v>13443</v>
      </c>
      <c r="L48" s="137">
        <f t="shared" si="23"/>
        <v>13488</v>
      </c>
    </row>
    <row r="49" spans="2:15" x14ac:dyDescent="0.35">
      <c r="B49" s="8" t="s">
        <v>246</v>
      </c>
      <c r="C49" s="128">
        <v>0.25</v>
      </c>
      <c r="D49" s="128">
        <v>0.25</v>
      </c>
      <c r="E49" s="128">
        <v>0.25</v>
      </c>
      <c r="F49" s="128">
        <v>0.25</v>
      </c>
      <c r="G49" s="128">
        <v>0.25</v>
      </c>
      <c r="H49" s="128">
        <v>0.25</v>
      </c>
      <c r="I49" s="128">
        <v>0.25</v>
      </c>
      <c r="J49" s="128">
        <v>0.25</v>
      </c>
      <c r="K49" s="128">
        <v>0.25</v>
      </c>
      <c r="L49" s="128">
        <v>0.25</v>
      </c>
    </row>
    <row r="50" spans="2:15" x14ac:dyDescent="0.35">
      <c r="B50" s="8" t="s">
        <v>169</v>
      </c>
      <c r="C50" s="137">
        <f t="shared" ref="C50:G50" si="24">C48*(1-C49)</f>
        <v>4167.75</v>
      </c>
      <c r="D50" s="137">
        <f t="shared" si="24"/>
        <v>4422</v>
      </c>
      <c r="E50" s="137">
        <f t="shared" si="24"/>
        <v>5234.25</v>
      </c>
      <c r="F50" s="137">
        <f t="shared" si="24"/>
        <v>6236.25</v>
      </c>
      <c r="G50" s="137">
        <f t="shared" si="24"/>
        <v>6644.25</v>
      </c>
      <c r="H50" s="137">
        <f>H48*(1-H49)</f>
        <v>7914</v>
      </c>
      <c r="I50" s="137">
        <f t="shared" ref="I50:L50" si="25">I48*(1-I49)</f>
        <v>8824.5</v>
      </c>
      <c r="J50" s="137">
        <f t="shared" si="25"/>
        <v>9757.5</v>
      </c>
      <c r="K50" s="137">
        <f t="shared" si="25"/>
        <v>10082.25</v>
      </c>
      <c r="L50" s="137">
        <f t="shared" si="25"/>
        <v>10116</v>
      </c>
      <c r="N50" s="141" t="s">
        <v>257</v>
      </c>
    </row>
    <row r="52" spans="2:15" x14ac:dyDescent="0.35">
      <c r="B52" s="8" t="s">
        <v>247</v>
      </c>
      <c r="C52" s="138">
        <v>0</v>
      </c>
      <c r="D52" s="138">
        <f>D45+D46</f>
        <v>207</v>
      </c>
      <c r="E52" s="138">
        <f t="shared" ref="E52:H52" si="26">E45+E46</f>
        <v>44</v>
      </c>
      <c r="F52" s="138">
        <f t="shared" si="26"/>
        <v>1190</v>
      </c>
      <c r="G52" s="138">
        <f t="shared" si="26"/>
        <v>222</v>
      </c>
      <c r="H52" s="138">
        <f t="shared" si="26"/>
        <v>-3410</v>
      </c>
      <c r="I52" s="137">
        <f>I45+I46</f>
        <v>2704</v>
      </c>
      <c r="J52" s="137">
        <f t="shared" ref="J52:L52" si="27">J45+J46</f>
        <v>1405</v>
      </c>
      <c r="K52" s="137">
        <f t="shared" si="27"/>
        <v>-2960</v>
      </c>
      <c r="L52" s="137">
        <f t="shared" si="27"/>
        <v>-143</v>
      </c>
      <c r="N52" s="11" t="s">
        <v>248</v>
      </c>
    </row>
    <row r="53" spans="2:15" x14ac:dyDescent="0.35">
      <c r="B53" s="8" t="s">
        <v>248</v>
      </c>
      <c r="C53" s="138">
        <v>0</v>
      </c>
      <c r="D53" s="140">
        <f>D52/D50</f>
        <v>4.6811397557666216E-2</v>
      </c>
      <c r="E53" s="140">
        <f t="shared" ref="E53:H53" si="28">E52/E50</f>
        <v>8.4061708936332812E-3</v>
      </c>
      <c r="F53" s="140">
        <f t="shared" si="28"/>
        <v>0.19081980356784928</v>
      </c>
      <c r="G53" s="140">
        <f t="shared" si="28"/>
        <v>3.3412349023591831E-2</v>
      </c>
      <c r="H53" s="140">
        <f t="shared" si="28"/>
        <v>-0.43088198129896388</v>
      </c>
      <c r="I53" s="14">
        <f>I52/I50</f>
        <v>0.30641962717434418</v>
      </c>
      <c r="J53" s="14">
        <f t="shared" ref="J53:L53" si="29">J52/J50</f>
        <v>0.14399180117858057</v>
      </c>
      <c r="K53" s="14">
        <f t="shared" si="29"/>
        <v>-0.29358526122641276</v>
      </c>
      <c r="L53" s="14">
        <f t="shared" si="29"/>
        <v>-1.4136022143139582E-2</v>
      </c>
      <c r="N53" s="130" t="s">
        <v>255</v>
      </c>
      <c r="O53" s="131">
        <f>AVERAGE(C53:L53)</f>
        <v>-8.7421152728509033E-4</v>
      </c>
    </row>
    <row r="54" spans="2:15" x14ac:dyDescent="0.35">
      <c r="N54" s="132" t="s">
        <v>256</v>
      </c>
      <c r="O54" s="133">
        <f>MEDIAN(C53:L53)</f>
        <v>2.0909259958612557E-2</v>
      </c>
    </row>
    <row r="55" spans="2:15" x14ac:dyDescent="0.35">
      <c r="B55" s="8" t="s">
        <v>249</v>
      </c>
      <c r="C55" s="129">
        <f t="shared" ref="C55:G55" si="30">C40</f>
        <v>5.4766754270696456</v>
      </c>
      <c r="D55" s="129">
        <f t="shared" si="30"/>
        <v>3.7097315436241609</v>
      </c>
      <c r="E55" s="129">
        <f t="shared" si="30"/>
        <v>10.859439834024895</v>
      </c>
      <c r="F55" s="129">
        <f t="shared" si="30"/>
        <v>5.6436651583710411</v>
      </c>
      <c r="G55" s="129">
        <f t="shared" si="30"/>
        <v>5.1867681498829041</v>
      </c>
      <c r="H55" s="129">
        <f>H40</f>
        <v>0.19899922049837812</v>
      </c>
      <c r="I55" s="129">
        <f t="shared" ref="I55:L55" si="31">I40</f>
        <v>0.21289505428226779</v>
      </c>
      <c r="J55" s="129">
        <f t="shared" si="31"/>
        <v>0.22666031731282957</v>
      </c>
      <c r="K55" s="129">
        <f t="shared" si="31"/>
        <v>0.25397375182628845</v>
      </c>
      <c r="L55" s="129">
        <f t="shared" si="31"/>
        <v>0.25421556555173019</v>
      </c>
    </row>
    <row r="56" spans="2:15" x14ac:dyDescent="0.35">
      <c r="N56" s="11" t="s">
        <v>253</v>
      </c>
    </row>
    <row r="57" spans="2:15" x14ac:dyDescent="0.35">
      <c r="B57" s="8" t="s">
        <v>250</v>
      </c>
      <c r="C57" s="138">
        <v>0</v>
      </c>
      <c r="D57" s="129">
        <f t="shared" ref="D57:H57" si="32">D55*D53</f>
        <v>0.17365771812080538</v>
      </c>
      <c r="E57" s="129">
        <f t="shared" si="32"/>
        <v>9.1286307053941904E-2</v>
      </c>
      <c r="F57" s="129">
        <f t="shared" si="32"/>
        <v>1.0769230769230771</v>
      </c>
      <c r="G57" s="129">
        <f t="shared" si="32"/>
        <v>0.17330210772833726</v>
      </c>
      <c r="H57" s="129">
        <f t="shared" si="32"/>
        <v>-8.5745178405290556E-2</v>
      </c>
      <c r="I57" s="129">
        <f>I55*I53</f>
        <v>6.5235223160434258E-2</v>
      </c>
      <c r="J57" s="129">
        <f t="shared" ref="J57:L57" si="33">J55*J53</f>
        <v>3.2637227345582935E-2</v>
      </c>
      <c r="K57" s="129">
        <f t="shared" si="33"/>
        <v>-7.456295027457302E-2</v>
      </c>
      <c r="L57" s="129">
        <f t="shared" si="33"/>
        <v>-3.5935968637700101E-3</v>
      </c>
      <c r="N57" s="130" t="s">
        <v>255</v>
      </c>
      <c r="O57" s="131">
        <f>AVERAGE(C57:L57)</f>
        <v>0.14491399347885453</v>
      </c>
    </row>
    <row r="58" spans="2:15" x14ac:dyDescent="0.35">
      <c r="N58" s="132" t="s">
        <v>256</v>
      </c>
      <c r="O58" s="133">
        <f>MEDIAN(C57:L57)</f>
        <v>4.89362252530086E-2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30"/>
  <sheetViews>
    <sheetView workbookViewId="0">
      <pane xSplit="1" ySplit="4" topLeftCell="B18" activePane="bottomRight" state="frozen"/>
      <selection pane="topRight" activeCell="B1" sqref="B1"/>
      <selection pane="bottomLeft" activeCell="A5" sqref="A5"/>
      <selection pane="bottomRight" activeCell="A35" sqref="A35"/>
    </sheetView>
  </sheetViews>
  <sheetFormatPr defaultRowHeight="14.5" x14ac:dyDescent="0.35"/>
  <cols>
    <col min="1" max="1" width="1.90625" style="8" customWidth="1"/>
    <col min="2" max="2" width="25.36328125" style="8" bestFit="1" customWidth="1"/>
    <col min="3" max="7" width="9.26953125" style="8" customWidth="1"/>
    <col min="8" max="17" width="9.54296875" style="8" bestFit="1" customWidth="1"/>
    <col min="18" max="16384" width="8.7265625" style="8"/>
  </cols>
  <sheetData>
    <row r="1" spans="2:17" ht="18.5" x14ac:dyDescent="0.45">
      <c r="B1" s="59" t="s">
        <v>164</v>
      </c>
    </row>
    <row r="3" spans="2:17" x14ac:dyDescent="0.35">
      <c r="C3" s="55" t="s">
        <v>162</v>
      </c>
      <c r="D3" s="55" t="s">
        <v>162</v>
      </c>
      <c r="E3" s="55" t="s">
        <v>162</v>
      </c>
      <c r="F3" s="55" t="s">
        <v>162</v>
      </c>
      <c r="G3" s="55" t="s">
        <v>162</v>
      </c>
      <c r="H3" s="55" t="s">
        <v>162</v>
      </c>
      <c r="I3" s="55" t="s">
        <v>162</v>
      </c>
      <c r="J3" s="55" t="s">
        <v>162</v>
      </c>
      <c r="K3" s="55" t="s">
        <v>162</v>
      </c>
      <c r="L3" s="55" t="s">
        <v>162</v>
      </c>
      <c r="M3" s="56" t="s">
        <v>162</v>
      </c>
      <c r="N3" s="56" t="s">
        <v>162</v>
      </c>
      <c r="O3" s="56" t="s">
        <v>162</v>
      </c>
      <c r="P3" s="56" t="s">
        <v>162</v>
      </c>
      <c r="Q3" s="56" t="s">
        <v>162</v>
      </c>
    </row>
    <row r="4" spans="2:17" ht="15" thickBot="1" x14ac:dyDescent="0.4">
      <c r="B4" s="53" t="s">
        <v>161</v>
      </c>
      <c r="C4" s="54">
        <f>'Forecasting growth'!H4</f>
        <v>42460</v>
      </c>
      <c r="D4" s="54">
        <f>C4+365</f>
        <v>42825</v>
      </c>
      <c r="E4" s="54">
        <f t="shared" ref="E4:G4" si="0">D4+365</f>
        <v>43190</v>
      </c>
      <c r="F4" s="54">
        <f t="shared" si="0"/>
        <v>43555</v>
      </c>
      <c r="G4" s="54">
        <f t="shared" si="0"/>
        <v>43920</v>
      </c>
      <c r="H4" s="54">
        <f>'Forecasting growth'!H9</f>
        <v>44285</v>
      </c>
      <c r="I4" s="54">
        <f>H4+365</f>
        <v>44650</v>
      </c>
      <c r="J4" s="54">
        <f t="shared" ref="J4:Q4" si="1">I4+365</f>
        <v>45015</v>
      </c>
      <c r="K4" s="54">
        <f t="shared" si="1"/>
        <v>45380</v>
      </c>
      <c r="L4" s="54">
        <f t="shared" si="1"/>
        <v>45745</v>
      </c>
      <c r="M4" s="57">
        <f t="shared" si="1"/>
        <v>46110</v>
      </c>
      <c r="N4" s="57">
        <f t="shared" si="1"/>
        <v>46475</v>
      </c>
      <c r="O4" s="57">
        <f t="shared" si="1"/>
        <v>46840</v>
      </c>
      <c r="P4" s="57">
        <f t="shared" si="1"/>
        <v>47205</v>
      </c>
      <c r="Q4" s="57">
        <f t="shared" si="1"/>
        <v>47570</v>
      </c>
    </row>
    <row r="5" spans="2:17" x14ac:dyDescent="0.35">
      <c r="B5" s="8" t="s">
        <v>65</v>
      </c>
      <c r="C5" s="12">
        <f t="array" ref="C5:Q5">TRANSPOSE('Forecasting growth'!I4:I20)</f>
        <v>5910</v>
      </c>
      <c r="D5" s="12">
        <v>6328</v>
      </c>
      <c r="E5" s="12">
        <v>7499</v>
      </c>
      <c r="F5" s="12">
        <v>8880</v>
      </c>
      <c r="G5" s="12">
        <v>9861</v>
      </c>
      <c r="H5" s="12">
        <v>11626</v>
      </c>
      <c r="I5" s="12">
        <v>12857</v>
      </c>
      <c r="J5" s="12">
        <v>14147</v>
      </c>
      <c r="K5" s="12">
        <v>14659</v>
      </c>
      <c r="L5" s="12">
        <v>14843</v>
      </c>
      <c r="M5" s="50">
        <v>16849.333333333336</v>
      </c>
      <c r="N5" s="50">
        <v>17974.484848484848</v>
      </c>
      <c r="O5" s="50">
        <v>19099.636363636364</v>
      </c>
      <c r="P5" s="50">
        <v>20224.78787878788</v>
      </c>
      <c r="Q5" s="50">
        <v>21349.939393939392</v>
      </c>
    </row>
    <row r="6" spans="2:17" x14ac:dyDescent="0.35">
      <c r="B6" s="60" t="s">
        <v>165</v>
      </c>
      <c r="C6" s="61">
        <f t="array" ref="C6:Q6">TRANSPOSE('Forecasting growth'!J4:J20)</f>
        <v>0</v>
      </c>
      <c r="D6" s="61">
        <v>7.0727580372250465E-2</v>
      </c>
      <c r="E6" s="61">
        <v>0.1850505689001265</v>
      </c>
      <c r="F6" s="61">
        <v>0.1841578877183625</v>
      </c>
      <c r="G6" s="61">
        <v>0.11047297297297298</v>
      </c>
      <c r="H6" s="61">
        <v>0.1789879322583916</v>
      </c>
      <c r="I6" s="61">
        <v>0.10588336487183891</v>
      </c>
      <c r="J6" s="61">
        <v>0.10033444816053505</v>
      </c>
      <c r="K6" s="61">
        <v>3.6191418675337594E-2</v>
      </c>
      <c r="L6" s="61">
        <v>1.255201582645471E-2</v>
      </c>
      <c r="M6" s="62">
        <v>0.13517033843113491</v>
      </c>
      <c r="N6" s="62">
        <v>6.6777212658355234E-2</v>
      </c>
      <c r="O6" s="62">
        <v>6.259714949473838E-2</v>
      </c>
      <c r="P6" s="62">
        <v>5.890957784377937E-2</v>
      </c>
      <c r="Q6" s="62">
        <v>5.5632302395200561E-2</v>
      </c>
    </row>
    <row r="7" spans="2:17" x14ac:dyDescent="0.35">
      <c r="B7" s="61"/>
      <c r="M7" s="58"/>
      <c r="N7" s="58"/>
      <c r="O7" s="58"/>
      <c r="P7" s="58"/>
      <c r="Q7" s="58"/>
    </row>
    <row r="8" spans="2:17" x14ac:dyDescent="0.35">
      <c r="B8" s="8" t="s">
        <v>166</v>
      </c>
      <c r="C8" s="12">
        <f>HistoricalFS!C22</f>
        <v>353</v>
      </c>
      <c r="D8" s="12">
        <f>HistoricalFS!D22</f>
        <v>432</v>
      </c>
      <c r="E8" s="12">
        <f>HistoricalFS!E22</f>
        <v>520</v>
      </c>
      <c r="F8" s="12">
        <f>HistoricalFS!F22</f>
        <v>565</v>
      </c>
      <c r="G8" s="12">
        <f>HistoricalFS!G22</f>
        <v>1002</v>
      </c>
      <c r="H8" s="12">
        <f>HistoricalFS!H22</f>
        <v>1074</v>
      </c>
      <c r="I8" s="12">
        <f>HistoricalFS!I22</f>
        <v>1091</v>
      </c>
      <c r="J8" s="12">
        <f>HistoricalFS!J22</f>
        <v>1137</v>
      </c>
      <c r="K8" s="12">
        <f>HistoricalFS!K22</f>
        <v>1216</v>
      </c>
      <c r="L8" s="12">
        <f>HistoricalFS!L22</f>
        <v>1355</v>
      </c>
      <c r="M8" s="50">
        <f>L8*(1+M9)</f>
        <v>1598.7522057581155</v>
      </c>
      <c r="N8" s="50">
        <f t="shared" ref="N8:Q8" si="2">M8*(1+N9)</f>
        <v>1863.537929011047</v>
      </c>
      <c r="O8" s="50">
        <f t="shared" si="2"/>
        <v>2171.4141234763902</v>
      </c>
      <c r="P8" s="50">
        <f t="shared" si="2"/>
        <v>2523.928320997124</v>
      </c>
      <c r="Q8" s="50">
        <f t="shared" si="2"/>
        <v>2817.778278411422</v>
      </c>
    </row>
    <row r="9" spans="2:17" x14ac:dyDescent="0.35">
      <c r="B9" s="60" t="s">
        <v>165</v>
      </c>
      <c r="C9" s="13" t="s">
        <v>58</v>
      </c>
      <c r="D9" s="61">
        <f>D8/C8-1</f>
        <v>0.22379603399433434</v>
      </c>
      <c r="E9" s="61">
        <f t="shared" ref="E9:L9" si="3">E8/D8-1</f>
        <v>0.20370370370370372</v>
      </c>
      <c r="F9" s="61">
        <f t="shared" si="3"/>
        <v>8.6538461538461453E-2</v>
      </c>
      <c r="G9" s="61">
        <f t="shared" si="3"/>
        <v>0.77345132743362832</v>
      </c>
      <c r="H9" s="61">
        <f t="shared" si="3"/>
        <v>7.1856287425149601E-2</v>
      </c>
      <c r="I9" s="61">
        <f t="shared" si="3"/>
        <v>1.5828677839851091E-2</v>
      </c>
      <c r="J9" s="61">
        <f t="shared" si="3"/>
        <v>4.2163153070577497E-2</v>
      </c>
      <c r="K9" s="61">
        <f t="shared" si="3"/>
        <v>6.9481090589269989E-2</v>
      </c>
      <c r="L9" s="61">
        <f t="shared" si="3"/>
        <v>0.11430921052631571</v>
      </c>
      <c r="M9" s="62">
        <f>FORECAST(M6,D9:L9,D6:L6)</f>
        <v>0.1798909267587567</v>
      </c>
      <c r="N9" s="62">
        <f t="shared" ref="N9:Q9" si="4">FORECAST(N6,E9:M9,E6:M6)</f>
        <v>0.16562023952134117</v>
      </c>
      <c r="O9" s="62">
        <f t="shared" si="4"/>
        <v>0.16521058663331237</v>
      </c>
      <c r="P9" s="62">
        <f t="shared" si="4"/>
        <v>0.16234314482415074</v>
      </c>
      <c r="Q9" s="62">
        <f t="shared" si="4"/>
        <v>0.11642563497928779</v>
      </c>
    </row>
    <row r="10" spans="2:17" x14ac:dyDescent="0.35">
      <c r="M10" s="58"/>
      <c r="N10" s="58"/>
      <c r="O10" s="58"/>
      <c r="P10" s="58"/>
      <c r="Q10" s="58"/>
    </row>
    <row r="11" spans="2:17" x14ac:dyDescent="0.35">
      <c r="B11" s="8" t="s">
        <v>167</v>
      </c>
      <c r="C11" s="12">
        <f>C5-C8</f>
        <v>5557</v>
      </c>
      <c r="D11" s="12">
        <f t="shared" ref="D11:L11" si="5">D5-D8</f>
        <v>5896</v>
      </c>
      <c r="E11" s="12">
        <f t="shared" si="5"/>
        <v>6979</v>
      </c>
      <c r="F11" s="12">
        <f t="shared" si="5"/>
        <v>8315</v>
      </c>
      <c r="G11" s="12">
        <f t="shared" si="5"/>
        <v>8859</v>
      </c>
      <c r="H11" s="12">
        <f t="shared" si="5"/>
        <v>10552</v>
      </c>
      <c r="I11" s="12">
        <f t="shared" si="5"/>
        <v>11766</v>
      </c>
      <c r="J11" s="12">
        <f t="shared" si="5"/>
        <v>13010</v>
      </c>
      <c r="K11" s="12">
        <f t="shared" si="5"/>
        <v>13443</v>
      </c>
      <c r="L11" s="12">
        <f t="shared" si="5"/>
        <v>13488</v>
      </c>
      <c r="M11" s="50">
        <f>M5-M8</f>
        <v>15250.58112757522</v>
      </c>
      <c r="N11" s="50">
        <f t="shared" ref="N11:Q11" si="6">N5-N8</f>
        <v>16110.946919473801</v>
      </c>
      <c r="O11" s="50">
        <f t="shared" si="6"/>
        <v>16928.222240159972</v>
      </c>
      <c r="P11" s="50">
        <f t="shared" si="6"/>
        <v>17700.859557790754</v>
      </c>
      <c r="Q11" s="50">
        <f t="shared" si="6"/>
        <v>18532.161115527972</v>
      </c>
    </row>
    <row r="12" spans="2:17" x14ac:dyDescent="0.35">
      <c r="B12" s="60" t="s">
        <v>165</v>
      </c>
      <c r="C12" s="13" t="s">
        <v>58</v>
      </c>
      <c r="D12" s="61">
        <f>D11/C11-1</f>
        <v>6.1004138923879792E-2</v>
      </c>
      <c r="E12" s="61">
        <f t="shared" ref="E12:L12" si="7">E11/D11-1</f>
        <v>0.18368385345997296</v>
      </c>
      <c r="F12" s="61">
        <f t="shared" si="7"/>
        <v>0.19143143716864874</v>
      </c>
      <c r="G12" s="61">
        <f t="shared" si="7"/>
        <v>6.5423932651833994E-2</v>
      </c>
      <c r="H12" s="61">
        <f t="shared" si="7"/>
        <v>0.19110509086804384</v>
      </c>
      <c r="I12" s="61">
        <f t="shared" si="7"/>
        <v>0.11504927975739188</v>
      </c>
      <c r="J12" s="61">
        <f t="shared" si="7"/>
        <v>0.10572836987931322</v>
      </c>
      <c r="K12" s="61">
        <f t="shared" si="7"/>
        <v>3.3282090699461975E-2</v>
      </c>
      <c r="L12" s="61">
        <f t="shared" si="7"/>
        <v>3.3474670832402964E-3</v>
      </c>
      <c r="M12" s="62">
        <f>FORECAST(M6,D12:L12,D6:L6)</f>
        <v>0.13345042093110548</v>
      </c>
      <c r="N12" s="62">
        <f t="shared" ref="N12:Q12" si="8">FORECAST(N6,E12:M12,E6:M6)</f>
        <v>6.0024208673923107E-2</v>
      </c>
      <c r="O12" s="62">
        <f t="shared" si="8"/>
        <v>5.5483732332105004E-2</v>
      </c>
      <c r="P12" s="62">
        <f t="shared" si="8"/>
        <v>5.1576186402226123E-2</v>
      </c>
      <c r="Q12" s="62">
        <f t="shared" si="8"/>
        <v>5.1196171880927233E-2</v>
      </c>
    </row>
    <row r="13" spans="2:17" x14ac:dyDescent="0.35">
      <c r="F13" s="14"/>
      <c r="G13" s="14"/>
      <c r="H13" s="14"/>
      <c r="I13" s="14"/>
      <c r="J13" s="14"/>
      <c r="K13" s="14"/>
      <c r="M13" s="58"/>
      <c r="N13" s="58"/>
      <c r="O13" s="58"/>
      <c r="P13" s="58"/>
      <c r="Q13" s="58"/>
    </row>
    <row r="14" spans="2:17" x14ac:dyDescent="0.35">
      <c r="B14" s="8" t="s">
        <v>168</v>
      </c>
      <c r="C14" s="14">
        <v>0.25</v>
      </c>
      <c r="D14" s="14">
        <v>0.25</v>
      </c>
      <c r="E14" s="14">
        <v>0.25</v>
      </c>
      <c r="F14" s="14">
        <v>0.25</v>
      </c>
      <c r="G14" s="14">
        <v>0.25</v>
      </c>
      <c r="H14" s="14">
        <v>0.25</v>
      </c>
      <c r="I14" s="14">
        <v>0.25</v>
      </c>
      <c r="J14" s="14">
        <v>0.25</v>
      </c>
      <c r="K14" s="14">
        <v>0.25</v>
      </c>
      <c r="L14" s="14">
        <v>0.25</v>
      </c>
      <c r="M14" s="51">
        <v>0.25</v>
      </c>
      <c r="N14" s="51">
        <v>0.25</v>
      </c>
      <c r="O14" s="51">
        <v>0.25</v>
      </c>
      <c r="P14" s="51">
        <v>0.25</v>
      </c>
      <c r="Q14" s="51">
        <v>0.25</v>
      </c>
    </row>
    <row r="15" spans="2:17" x14ac:dyDescent="0.35">
      <c r="M15" s="58"/>
      <c r="N15" s="58"/>
      <c r="O15" s="58"/>
      <c r="P15" s="58"/>
      <c r="Q15" s="58"/>
    </row>
    <row r="16" spans="2:17" x14ac:dyDescent="0.35">
      <c r="B16" s="11" t="s">
        <v>169</v>
      </c>
      <c r="C16" s="19">
        <f>C11*(1-C14)</f>
        <v>4167.75</v>
      </c>
      <c r="D16" s="19">
        <f t="shared" ref="D16:Q16" si="9">D11*(1-D14)</f>
        <v>4422</v>
      </c>
      <c r="E16" s="19">
        <f t="shared" si="9"/>
        <v>5234.25</v>
      </c>
      <c r="F16" s="19">
        <f t="shared" si="9"/>
        <v>6236.25</v>
      </c>
      <c r="G16" s="19">
        <f t="shared" si="9"/>
        <v>6644.25</v>
      </c>
      <c r="H16" s="19">
        <f t="shared" si="9"/>
        <v>7914</v>
      </c>
      <c r="I16" s="19">
        <f t="shared" si="9"/>
        <v>8824.5</v>
      </c>
      <c r="J16" s="19">
        <f t="shared" si="9"/>
        <v>9757.5</v>
      </c>
      <c r="K16" s="19">
        <f t="shared" si="9"/>
        <v>10082.25</v>
      </c>
      <c r="L16" s="19">
        <f t="shared" si="9"/>
        <v>10116</v>
      </c>
      <c r="M16" s="63">
        <f t="shared" si="9"/>
        <v>11437.935845681415</v>
      </c>
      <c r="N16" s="63">
        <f t="shared" si="9"/>
        <v>12083.21018960535</v>
      </c>
      <c r="O16" s="63">
        <f t="shared" si="9"/>
        <v>12696.166680119979</v>
      </c>
      <c r="P16" s="63">
        <f t="shared" si="9"/>
        <v>13275.644668343066</v>
      </c>
      <c r="Q16" s="63">
        <f t="shared" si="9"/>
        <v>13899.12083664598</v>
      </c>
    </row>
    <row r="17" spans="2:17" x14ac:dyDescent="0.35">
      <c r="M17" s="58"/>
      <c r="N17" s="58"/>
      <c r="O17" s="58"/>
      <c r="P17" s="58"/>
      <c r="Q17" s="58"/>
    </row>
    <row r="18" spans="2:17" x14ac:dyDescent="0.35">
      <c r="B18" s="20" t="s">
        <v>170</v>
      </c>
      <c r="C18" s="21">
        <f>C16+C8</f>
        <v>4520.75</v>
      </c>
      <c r="D18" s="21">
        <f t="shared" ref="D18:Q18" si="10">D16+D8</f>
        <v>4854</v>
      </c>
      <c r="E18" s="21">
        <f t="shared" si="10"/>
        <v>5754.25</v>
      </c>
      <c r="F18" s="21">
        <f t="shared" si="10"/>
        <v>6801.25</v>
      </c>
      <c r="G18" s="21">
        <f t="shared" si="10"/>
        <v>7646.25</v>
      </c>
      <c r="H18" s="21">
        <f t="shared" si="10"/>
        <v>8988</v>
      </c>
      <c r="I18" s="21">
        <f t="shared" si="10"/>
        <v>9915.5</v>
      </c>
      <c r="J18" s="21">
        <f t="shared" si="10"/>
        <v>10894.5</v>
      </c>
      <c r="K18" s="21">
        <f t="shared" si="10"/>
        <v>11298.25</v>
      </c>
      <c r="L18" s="21">
        <f>L16+L8</f>
        <v>11471</v>
      </c>
      <c r="M18" s="64">
        <f t="shared" si="10"/>
        <v>13036.688051439531</v>
      </c>
      <c r="N18" s="64">
        <f t="shared" si="10"/>
        <v>13946.748118616397</v>
      </c>
      <c r="O18" s="64">
        <f t="shared" si="10"/>
        <v>14867.580803596369</v>
      </c>
      <c r="P18" s="64">
        <f t="shared" si="10"/>
        <v>15799.572989340189</v>
      </c>
      <c r="Q18" s="64">
        <f t="shared" si="10"/>
        <v>16716.8991150574</v>
      </c>
    </row>
    <row r="19" spans="2:17" x14ac:dyDescent="0.35">
      <c r="B19" s="60" t="s">
        <v>165</v>
      </c>
      <c r="D19" s="65">
        <f>D18/C18-1</f>
        <v>7.3715644528009827E-2</v>
      </c>
      <c r="E19" s="65">
        <f t="shared" ref="E19:Q19" si="11">E18/D18-1</f>
        <v>0.18546559538524932</v>
      </c>
      <c r="F19" s="65">
        <f t="shared" si="11"/>
        <v>0.18195246991354219</v>
      </c>
      <c r="G19" s="65">
        <f t="shared" si="11"/>
        <v>0.12424186730380438</v>
      </c>
      <c r="H19" s="65">
        <f t="shared" si="11"/>
        <v>0.17547817557626288</v>
      </c>
      <c r="I19" s="65">
        <f t="shared" si="11"/>
        <v>0.10319314641744559</v>
      </c>
      <c r="J19" s="65">
        <f t="shared" si="11"/>
        <v>9.8734304876203938E-2</v>
      </c>
      <c r="K19" s="65">
        <f t="shared" si="11"/>
        <v>3.7059984395795942E-2</v>
      </c>
      <c r="L19" s="65">
        <f t="shared" si="11"/>
        <v>1.5289978536499049E-2</v>
      </c>
      <c r="M19" s="66">
        <f t="shared" si="11"/>
        <v>0.1364909817312816</v>
      </c>
      <c r="N19" s="66">
        <f t="shared" si="11"/>
        <v>6.980761245386824E-2</v>
      </c>
      <c r="O19" s="66">
        <f t="shared" si="11"/>
        <v>6.6024902518374562E-2</v>
      </c>
      <c r="P19" s="66">
        <f t="shared" si="11"/>
        <v>6.2686202823150516E-2</v>
      </c>
      <c r="Q19" s="66">
        <f t="shared" si="11"/>
        <v>5.8060184685758465E-2</v>
      </c>
    </row>
    <row r="20" spans="2:17" x14ac:dyDescent="0.35">
      <c r="M20" s="58"/>
      <c r="N20" s="58"/>
      <c r="O20" s="58"/>
      <c r="P20" s="58"/>
      <c r="Q20" s="58"/>
    </row>
    <row r="21" spans="2:17" x14ac:dyDescent="0.35">
      <c r="B21" s="8" t="str">
        <f>HistoricalFS!B80</f>
        <v xml:space="preserve">Cash from Operating Activity </v>
      </c>
      <c r="C21" s="12">
        <f>HistoricalFS!C80</f>
        <v>4090</v>
      </c>
      <c r="D21" s="12">
        <f>HistoricalFS!D80</f>
        <v>5797</v>
      </c>
      <c r="E21" s="12">
        <f>HistoricalFS!E80</f>
        <v>6895</v>
      </c>
      <c r="F21" s="12">
        <f>HistoricalFS!F80</f>
        <v>5458</v>
      </c>
      <c r="G21" s="12">
        <f>HistoricalFS!G80</f>
        <v>8034</v>
      </c>
      <c r="H21" s="12">
        <f>HistoricalFS!H80</f>
        <v>9062</v>
      </c>
      <c r="I21" s="12">
        <f>HistoricalFS!I80</f>
        <v>8048</v>
      </c>
      <c r="J21" s="12">
        <f>HistoricalFS!J80</f>
        <v>9031</v>
      </c>
      <c r="K21" s="12">
        <f>HistoricalFS!K80</f>
        <v>16782</v>
      </c>
      <c r="L21" s="12">
        <f>HistoricalFS!L80</f>
        <v>11098</v>
      </c>
      <c r="M21" s="50">
        <f>FORECAST(M5,C21:L21,C5:L5)</f>
        <v>13593.800956893534</v>
      </c>
      <c r="N21" s="50">
        <f t="shared" ref="N21:Q21" si="12">FORECAST(N5,D21:M21,D5:M5)</f>
        <v>14446.735573980408</v>
      </c>
      <c r="O21" s="50">
        <f t="shared" si="12"/>
        <v>15601.800787895472</v>
      </c>
      <c r="P21" s="50">
        <f t="shared" si="12"/>
        <v>16980.582105305966</v>
      </c>
      <c r="Q21" s="50">
        <f t="shared" si="12"/>
        <v>17851.606453769564</v>
      </c>
    </row>
    <row r="22" spans="2:17" x14ac:dyDescent="0.35">
      <c r="B22" s="60" t="s">
        <v>165</v>
      </c>
      <c r="D22" s="14">
        <f>D21/C21-1</f>
        <v>0.4173594132029339</v>
      </c>
      <c r="E22" s="14">
        <f t="shared" ref="E22:L22" si="13">E21/D21-1</f>
        <v>0.18940831464550634</v>
      </c>
      <c r="F22" s="14">
        <f t="shared" si="13"/>
        <v>-0.20841189267585203</v>
      </c>
      <c r="G22" s="14">
        <f t="shared" si="13"/>
        <v>0.47196775375595457</v>
      </c>
      <c r="H22" s="14">
        <f t="shared" si="13"/>
        <v>0.12795618620861338</v>
      </c>
      <c r="I22" s="14">
        <f t="shared" si="13"/>
        <v>-0.11189582873537851</v>
      </c>
      <c r="J22" s="14">
        <f t="shared" si="13"/>
        <v>0.12214214711729632</v>
      </c>
      <c r="K22" s="14">
        <f t="shared" si="13"/>
        <v>0.85826597276049155</v>
      </c>
      <c r="L22" s="14">
        <f t="shared" si="13"/>
        <v>-0.33869622214277206</v>
      </c>
      <c r="M22" s="51">
        <f t="shared" ref="M22" si="14">M21/L21-1</f>
        <v>0.22488745331533022</v>
      </c>
      <c r="N22" s="51">
        <f t="shared" ref="N22" si="15">N21/M21-1</f>
        <v>6.2744380309198489E-2</v>
      </c>
      <c r="O22" s="51">
        <f t="shared" ref="O22" si="16">O21/N21-1</f>
        <v>7.9953371334311463E-2</v>
      </c>
      <c r="P22" s="51">
        <f t="shared" ref="P22" si="17">P21/O21-1</f>
        <v>8.8373216409749933E-2</v>
      </c>
      <c r="Q22" s="51">
        <f t="shared" ref="Q22" si="18">Q21/P21-1</f>
        <v>5.1295317384403738E-2</v>
      </c>
    </row>
    <row r="23" spans="2:17" x14ac:dyDescent="0.35">
      <c r="B23" s="11" t="s">
        <v>93</v>
      </c>
      <c r="C23" s="19" t="str">
        <f>'Intrinsic Growth'!C46</f>
        <v>-</v>
      </c>
      <c r="D23" s="19">
        <f>'Intrinsic Growth'!D46</f>
        <v>-730</v>
      </c>
      <c r="E23" s="19">
        <f>'Intrinsic Growth'!E46</f>
        <v>-819</v>
      </c>
      <c r="F23" s="19">
        <f>'Intrinsic Growth'!F46</f>
        <v>436</v>
      </c>
      <c r="G23" s="19">
        <f>'Intrinsic Growth'!G46</f>
        <v>-588</v>
      </c>
      <c r="H23" s="19">
        <f>'Intrinsic Growth'!H46</f>
        <v>-7476</v>
      </c>
      <c r="I23" s="19">
        <f>'Intrinsic Growth'!I46</f>
        <v>1651</v>
      </c>
      <c r="J23" s="19">
        <f>'Intrinsic Growth'!J46</f>
        <v>394</v>
      </c>
      <c r="K23" s="19">
        <f>'Intrinsic Growth'!K46</f>
        <v>-4417</v>
      </c>
      <c r="L23" s="19">
        <f>'Intrinsic Growth'!L46</f>
        <v>-1405</v>
      </c>
      <c r="M23" s="63">
        <f>L23*(M24+1)</f>
        <v>796.84947869964139</v>
      </c>
      <c r="N23" s="63">
        <f t="shared" ref="N23:Q23" si="19">M23*(N24+1)</f>
        <v>602.48512203103348</v>
      </c>
      <c r="O23" s="63">
        <f t="shared" si="19"/>
        <v>279.6245146139309</v>
      </c>
      <c r="P23" s="63">
        <f t="shared" si="19"/>
        <v>244.7613300991469</v>
      </c>
      <c r="Q23" s="63">
        <f t="shared" si="19"/>
        <v>272.59357541282009</v>
      </c>
    </row>
    <row r="24" spans="2:17" x14ac:dyDescent="0.35">
      <c r="B24" s="60" t="s">
        <v>165</v>
      </c>
      <c r="D24" s="14"/>
      <c r="E24" s="14">
        <f t="shared" ref="E24" si="20">E23/D23-1</f>
        <v>0.12191780821917808</v>
      </c>
      <c r="F24" s="14">
        <f t="shared" ref="F24" si="21">F23/E23-1</f>
        <v>-1.5323565323565322</v>
      </c>
      <c r="G24" s="14">
        <f t="shared" ref="G24" si="22">G23/F23-1</f>
        <v>-2.3486238532110093</v>
      </c>
      <c r="H24" s="14">
        <f t="shared" ref="H24:L24" si="23">H23/G23-1</f>
        <v>11.714285714285714</v>
      </c>
      <c r="I24" s="14">
        <f t="shared" si="23"/>
        <v>-1.2208400214018191</v>
      </c>
      <c r="J24" s="14">
        <f t="shared" si="23"/>
        <v>-0.76135675348273768</v>
      </c>
      <c r="K24" s="14">
        <f t="shared" si="23"/>
        <v>-12.210659898477157</v>
      </c>
      <c r="L24" s="14">
        <f t="shared" si="23"/>
        <v>-0.68191079918496711</v>
      </c>
      <c r="M24" s="51">
        <f>FORECAST(M22,D24:L24,D22:L22)</f>
        <v>-1.5671526538787484</v>
      </c>
      <c r="N24" s="51">
        <f>FORECAST(N22,E24:M24,E22:M22)</f>
        <v>-0.24391602412263125</v>
      </c>
      <c r="O24" s="51">
        <f>FORECAST(O22,F24:N24,F22:N22)</f>
        <v>-0.53588146098730105</v>
      </c>
      <c r="P24" s="51">
        <f>FORECAST(P22,G24:O24,G22:O22)</f>
        <v>-0.12467856962726798</v>
      </c>
      <c r="Q24" s="51">
        <f>FORECAST(Q22,H24:P24,H22:P22)</f>
        <v>0.11371177506838603</v>
      </c>
    </row>
    <row r="25" spans="2:17" x14ac:dyDescent="0.35">
      <c r="M25" s="58"/>
      <c r="N25" s="58"/>
      <c r="O25" s="58"/>
      <c r="P25" s="58"/>
      <c r="Q25" s="58"/>
    </row>
    <row r="26" spans="2:17" x14ac:dyDescent="0.35">
      <c r="B26" s="11" t="s">
        <v>171</v>
      </c>
      <c r="C26" s="19">
        <f>'Intrinsic Growth'!C45</f>
        <v>711</v>
      </c>
      <c r="D26" s="19">
        <f>'Intrinsic Growth'!D45</f>
        <v>937</v>
      </c>
      <c r="E26" s="19">
        <f>'Intrinsic Growth'!E45</f>
        <v>863</v>
      </c>
      <c r="F26" s="19">
        <f>'Intrinsic Growth'!F45</f>
        <v>754</v>
      </c>
      <c r="G26" s="19">
        <f>'Intrinsic Growth'!G45</f>
        <v>810</v>
      </c>
      <c r="H26" s="19">
        <f>'Intrinsic Growth'!H45</f>
        <v>4066</v>
      </c>
      <c r="I26" s="19">
        <f>'Intrinsic Growth'!I45</f>
        <v>1053</v>
      </c>
      <c r="J26" s="19">
        <f>'Intrinsic Growth'!J45</f>
        <v>1011</v>
      </c>
      <c r="K26" s="19">
        <f>'Intrinsic Growth'!K45</f>
        <v>1457</v>
      </c>
      <c r="L26" s="19">
        <f>'Intrinsic Growth'!L45</f>
        <v>1262</v>
      </c>
      <c r="M26" s="63">
        <f>L26*(1+M27)</f>
        <v>1785.4507240928681</v>
      </c>
      <c r="N26" s="63">
        <f t="shared" ref="N26:Q26" si="24">M26*(1+N27)</f>
        <v>2545.2442945979283</v>
      </c>
      <c r="O26" s="63">
        <f t="shared" si="24"/>
        <v>3771.0473893610069</v>
      </c>
      <c r="P26" s="63">
        <f t="shared" si="24"/>
        <v>5841.9207474786836</v>
      </c>
      <c r="Q26" s="63">
        <f t="shared" si="24"/>
        <v>9358.2614874589999</v>
      </c>
    </row>
    <row r="27" spans="2:17" x14ac:dyDescent="0.35">
      <c r="B27" s="60" t="s">
        <v>165</v>
      </c>
      <c r="C27" s="8" t="s">
        <v>58</v>
      </c>
      <c r="D27" s="14">
        <f t="shared" ref="D27" si="25">D26/C26-1</f>
        <v>0.31786216596343175</v>
      </c>
      <c r="E27" s="14">
        <f t="shared" ref="E27" si="26">E26/D26-1</f>
        <v>-7.8975453575240162E-2</v>
      </c>
      <c r="F27" s="14">
        <f t="shared" ref="F27" si="27">F26/E26-1</f>
        <v>-0.1263035921205099</v>
      </c>
      <c r="G27" s="14">
        <f t="shared" ref="G27" si="28">G26/F26-1</f>
        <v>7.4270557029177731E-2</v>
      </c>
      <c r="H27" s="14">
        <f t="shared" ref="H27" si="29">H26/G26-1</f>
        <v>4.0197530864197528</v>
      </c>
      <c r="I27" s="14">
        <f t="shared" ref="I27:L27" si="30">I26/H26-1</f>
        <v>-0.74102311854402358</v>
      </c>
      <c r="J27" s="14">
        <f t="shared" si="30"/>
        <v>-3.9886039886039892E-2</v>
      </c>
      <c r="K27" s="14">
        <f t="shared" si="30"/>
        <v>0.44114737883283883</v>
      </c>
      <c r="L27" s="14">
        <f t="shared" si="30"/>
        <v>-0.13383665065202466</v>
      </c>
      <c r="M27" s="67">
        <f>AVERAGE(D27:L27)</f>
        <v>0.41477870371859588</v>
      </c>
      <c r="N27" s="67">
        <f t="shared" ref="N27:Q27" si="31">AVERAGE(E27:M27)</f>
        <v>0.42554720791361406</v>
      </c>
      <c r="O27" s="67">
        <f t="shared" si="31"/>
        <v>0.48160528141237563</v>
      </c>
      <c r="P27" s="67">
        <f t="shared" si="31"/>
        <v>0.54915071180491848</v>
      </c>
      <c r="Q27" s="67">
        <f t="shared" si="31"/>
        <v>0.60191517344666734</v>
      </c>
    </row>
    <row r="28" spans="2:17" x14ac:dyDescent="0.35">
      <c r="M28" s="58"/>
      <c r="N28" s="58"/>
      <c r="O28" s="58"/>
      <c r="P28" s="58"/>
      <c r="Q28" s="58"/>
    </row>
    <row r="29" spans="2:17" x14ac:dyDescent="0.35">
      <c r="B29" s="11" t="s">
        <v>37</v>
      </c>
      <c r="C29" s="19">
        <f>HistoricalFS!C53</f>
        <v>408</v>
      </c>
      <c r="D29" s="19">
        <f>HistoricalFS!D53</f>
        <v>229</v>
      </c>
      <c r="E29" s="19">
        <f>HistoricalFS!E53</f>
        <v>461</v>
      </c>
      <c r="F29" s="19">
        <f>HistoricalFS!F53</f>
        <v>406</v>
      </c>
      <c r="G29" s="19">
        <f>HistoricalFS!G53</f>
        <v>597</v>
      </c>
      <c r="H29" s="19">
        <f>HistoricalFS!H53</f>
        <v>745</v>
      </c>
      <c r="I29" s="19">
        <f>HistoricalFS!I53</f>
        <v>1313</v>
      </c>
      <c r="J29" s="19">
        <f>HistoricalFS!J53</f>
        <v>1132</v>
      </c>
      <c r="K29" s="19">
        <f>HistoricalFS!K53</f>
        <v>1025</v>
      </c>
      <c r="L29" s="19">
        <f>HistoricalFS!L53</f>
        <v>1009</v>
      </c>
      <c r="M29" s="63">
        <f>L29*(1+M30)</f>
        <v>1198.2267134828048</v>
      </c>
      <c r="N29" s="63">
        <f t="shared" ref="N29:Q29" si="32">M29*(1+N30)</f>
        <v>1506.3193096347113</v>
      </c>
      <c r="O29" s="63">
        <f t="shared" si="32"/>
        <v>1767.1029293014728</v>
      </c>
      <c r="P29" s="63">
        <f t="shared" si="32"/>
        <v>2130.4526164393328</v>
      </c>
      <c r="Q29" s="63">
        <f t="shared" si="32"/>
        <v>2505.8254036603585</v>
      </c>
    </row>
    <row r="30" spans="2:17" x14ac:dyDescent="0.35">
      <c r="B30" s="60" t="s">
        <v>165</v>
      </c>
      <c r="D30" s="14">
        <f>D29/C29-1</f>
        <v>-0.43872549019607843</v>
      </c>
      <c r="E30" s="14">
        <f t="shared" ref="E30:L30" si="33">E29/D29-1</f>
        <v>1.0131004366812228</v>
      </c>
      <c r="F30" s="14">
        <f t="shared" si="33"/>
        <v>-0.11930585683297179</v>
      </c>
      <c r="G30" s="14">
        <f t="shared" si="33"/>
        <v>0.47044334975369462</v>
      </c>
      <c r="H30" s="14">
        <f t="shared" si="33"/>
        <v>0.24790619765494126</v>
      </c>
      <c r="I30" s="14">
        <f t="shared" si="33"/>
        <v>0.76241610738255039</v>
      </c>
      <c r="J30" s="14">
        <f t="shared" si="33"/>
        <v>-0.1378522467631379</v>
      </c>
      <c r="K30" s="14">
        <f t="shared" si="33"/>
        <v>-9.4522968197879864E-2</v>
      </c>
      <c r="L30" s="14">
        <f t="shared" si="33"/>
        <v>-1.5609756097560989E-2</v>
      </c>
      <c r="M30" s="67">
        <f>AVERAGE(D30:L30)</f>
        <v>0.18753886370942</v>
      </c>
      <c r="N30" s="67">
        <f t="shared" ref="N30:Q30" si="34">AVERAGE(E30:M30)</f>
        <v>0.25712379192114204</v>
      </c>
      <c r="O30" s="67">
        <f t="shared" si="34"/>
        <v>0.17312638694779975</v>
      </c>
      <c r="P30" s="67">
        <f t="shared" si="34"/>
        <v>0.20561885847899658</v>
      </c>
      <c r="Q30" s="67">
        <f t="shared" si="34"/>
        <v>0.17619391500403014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B1:L15"/>
  <sheetViews>
    <sheetView workbookViewId="0">
      <selection activeCell="M13" sqref="M13"/>
    </sheetView>
  </sheetViews>
  <sheetFormatPr defaultRowHeight="14.5" x14ac:dyDescent="0.35"/>
  <cols>
    <col min="1" max="1" width="1.90625" style="8" customWidth="1"/>
    <col min="2" max="2" width="32" style="8" customWidth="1"/>
    <col min="3" max="12" width="10.6328125" style="8" customWidth="1"/>
    <col min="13" max="16384" width="8.7265625" style="8"/>
  </cols>
  <sheetData>
    <row r="1" spans="2:12" ht="18.5" x14ac:dyDescent="0.45">
      <c r="B1" s="52" t="s">
        <v>160</v>
      </c>
    </row>
    <row r="2" spans="2:12" x14ac:dyDescent="0.35">
      <c r="C2" s="55" t="s">
        <v>162</v>
      </c>
      <c r="D2" s="55" t="s">
        <v>162</v>
      </c>
      <c r="E2" s="55" t="s">
        <v>162</v>
      </c>
      <c r="F2" s="55" t="s">
        <v>162</v>
      </c>
      <c r="G2" s="55" t="s">
        <v>162</v>
      </c>
      <c r="H2" s="56" t="s">
        <v>162</v>
      </c>
      <c r="I2" s="56" t="s">
        <v>162</v>
      </c>
      <c r="J2" s="56" t="s">
        <v>162</v>
      </c>
      <c r="K2" s="56" t="s">
        <v>162</v>
      </c>
      <c r="L2" s="56" t="s">
        <v>162</v>
      </c>
    </row>
    <row r="3" spans="2:12" ht="15" thickBot="1" x14ac:dyDescent="0.4">
      <c r="B3" s="53" t="s">
        <v>161</v>
      </c>
      <c r="C3" s="54">
        <f>'Raw Cash Flow Data'!J2</f>
        <v>44256</v>
      </c>
      <c r="D3" s="54">
        <f>C3+365</f>
        <v>44621</v>
      </c>
      <c r="E3" s="54">
        <f t="shared" ref="E3:L3" si="0">D3+365</f>
        <v>44986</v>
      </c>
      <c r="F3" s="54">
        <f t="shared" si="0"/>
        <v>45351</v>
      </c>
      <c r="G3" s="54">
        <f t="shared" si="0"/>
        <v>45716</v>
      </c>
      <c r="H3" s="57">
        <f t="shared" si="0"/>
        <v>46081</v>
      </c>
      <c r="I3" s="57">
        <f t="shared" si="0"/>
        <v>46446</v>
      </c>
      <c r="J3" s="57">
        <f t="shared" si="0"/>
        <v>46811</v>
      </c>
      <c r="K3" s="57">
        <f t="shared" si="0"/>
        <v>47176</v>
      </c>
      <c r="L3" s="57">
        <f t="shared" si="0"/>
        <v>47541</v>
      </c>
    </row>
    <row r="4" spans="2:12" x14ac:dyDescent="0.35">
      <c r="B4" s="8" t="s">
        <v>65</v>
      </c>
      <c r="C4" s="12">
        <f t="array" ref="C4:L4">TRANSPOSE('Forecasting growth'!I9:I20)</f>
        <v>11626</v>
      </c>
      <c r="D4" s="12">
        <v>12857</v>
      </c>
      <c r="E4" s="12">
        <v>14147</v>
      </c>
      <c r="F4" s="12">
        <v>14659</v>
      </c>
      <c r="G4" s="12">
        <v>14843</v>
      </c>
      <c r="H4" s="50">
        <v>16849.333333333336</v>
      </c>
      <c r="I4" s="50">
        <v>17974.484848484848</v>
      </c>
      <c r="J4" s="50">
        <v>19099.636363636364</v>
      </c>
      <c r="K4" s="50">
        <v>20224.78787878788</v>
      </c>
      <c r="L4" s="50">
        <v>21349.939393939392</v>
      </c>
    </row>
    <row r="5" spans="2:12" x14ac:dyDescent="0.35">
      <c r="B5" s="68" t="s">
        <v>163</v>
      </c>
      <c r="C5" s="69">
        <f>'FCFF Line Items forecast'!H8</f>
        <v>1074</v>
      </c>
      <c r="D5" s="69">
        <f>'FCFF Line Items forecast'!I8</f>
        <v>1091</v>
      </c>
      <c r="E5" s="69">
        <f>'FCFF Line Items forecast'!J8</f>
        <v>1137</v>
      </c>
      <c r="F5" s="69">
        <f>'FCFF Line Items forecast'!K8</f>
        <v>1216</v>
      </c>
      <c r="G5" s="69">
        <f>'FCFF Line Items forecast'!L8</f>
        <v>1355</v>
      </c>
      <c r="H5" s="71">
        <f>'FCFF Line Items forecast'!M8</f>
        <v>1598.7522057581155</v>
      </c>
      <c r="I5" s="71">
        <f>'FCFF Line Items forecast'!N8</f>
        <v>1863.537929011047</v>
      </c>
      <c r="J5" s="71">
        <f>'FCFF Line Items forecast'!O8</f>
        <v>2171.4141234763902</v>
      </c>
      <c r="K5" s="71">
        <f>'FCFF Line Items forecast'!P8</f>
        <v>2523.928320997124</v>
      </c>
      <c r="L5" s="71">
        <f>'FCFF Line Items forecast'!Q8</f>
        <v>2817.778278411422</v>
      </c>
    </row>
    <row r="6" spans="2:12" x14ac:dyDescent="0.35">
      <c r="B6" s="12" t="s">
        <v>172</v>
      </c>
      <c r="C6" s="12">
        <f>C4-C5</f>
        <v>10552</v>
      </c>
      <c r="D6" s="12">
        <f t="shared" ref="D6:L6" si="1">D4-D5</f>
        <v>11766</v>
      </c>
      <c r="E6" s="12">
        <f t="shared" si="1"/>
        <v>13010</v>
      </c>
      <c r="F6" s="12">
        <f t="shared" si="1"/>
        <v>13443</v>
      </c>
      <c r="G6" s="12">
        <f t="shared" si="1"/>
        <v>13488</v>
      </c>
      <c r="H6" s="50">
        <f t="shared" si="1"/>
        <v>15250.58112757522</v>
      </c>
      <c r="I6" s="50">
        <f t="shared" si="1"/>
        <v>16110.946919473801</v>
      </c>
      <c r="J6" s="50">
        <f t="shared" si="1"/>
        <v>16928.222240159972</v>
      </c>
      <c r="K6" s="50">
        <f t="shared" si="1"/>
        <v>17700.859557790754</v>
      </c>
      <c r="L6" s="50">
        <f t="shared" si="1"/>
        <v>18532.161115527972</v>
      </c>
    </row>
    <row r="7" spans="2:12" x14ac:dyDescent="0.35">
      <c r="B7" s="68" t="s">
        <v>173</v>
      </c>
      <c r="C7" s="70">
        <f>30%</f>
        <v>0.3</v>
      </c>
      <c r="D7" s="70">
        <f>30%</f>
        <v>0.3</v>
      </c>
      <c r="E7" s="70">
        <f>30%</f>
        <v>0.3</v>
      </c>
      <c r="F7" s="70">
        <f>30%</f>
        <v>0.3</v>
      </c>
      <c r="G7" s="70">
        <f>30%</f>
        <v>0.3</v>
      </c>
      <c r="H7" s="72">
        <f>30%</f>
        <v>0.3</v>
      </c>
      <c r="I7" s="72">
        <f>30%</f>
        <v>0.3</v>
      </c>
      <c r="J7" s="72">
        <f>30%</f>
        <v>0.3</v>
      </c>
      <c r="K7" s="72">
        <f>30%</f>
        <v>0.3</v>
      </c>
      <c r="L7" s="72">
        <f>30%</f>
        <v>0.3</v>
      </c>
    </row>
    <row r="8" spans="2:12" x14ac:dyDescent="0.35">
      <c r="B8" s="8" t="s">
        <v>169</v>
      </c>
      <c r="C8" s="12">
        <f>C6*(1-C7)</f>
        <v>7386.4</v>
      </c>
      <c r="D8" s="12">
        <f t="shared" ref="D8:L8" si="2">D6*(1-D7)</f>
        <v>8236.1999999999989</v>
      </c>
      <c r="E8" s="12">
        <f t="shared" si="2"/>
        <v>9107</v>
      </c>
      <c r="F8" s="12">
        <f t="shared" si="2"/>
        <v>9410.0999999999985</v>
      </c>
      <c r="G8" s="12">
        <f t="shared" si="2"/>
        <v>9441.5999999999985</v>
      </c>
      <c r="H8" s="50">
        <f t="shared" si="2"/>
        <v>10675.406789302653</v>
      </c>
      <c r="I8" s="50">
        <f t="shared" si="2"/>
        <v>11277.662843631661</v>
      </c>
      <c r="J8" s="50">
        <f t="shared" si="2"/>
        <v>11849.755568111979</v>
      </c>
      <c r="K8" s="50">
        <f t="shared" si="2"/>
        <v>12390.601690453528</v>
      </c>
      <c r="L8" s="50">
        <f t="shared" si="2"/>
        <v>12972.51278086958</v>
      </c>
    </row>
    <row r="9" spans="2:12" x14ac:dyDescent="0.35">
      <c r="B9" s="69" t="s">
        <v>174</v>
      </c>
      <c r="C9" s="69">
        <f>C5</f>
        <v>1074</v>
      </c>
      <c r="D9" s="69">
        <f t="shared" ref="D9:L9" si="3">D5</f>
        <v>1091</v>
      </c>
      <c r="E9" s="69">
        <f t="shared" si="3"/>
        <v>1137</v>
      </c>
      <c r="F9" s="69">
        <f t="shared" si="3"/>
        <v>1216</v>
      </c>
      <c r="G9" s="69">
        <f t="shared" si="3"/>
        <v>1355</v>
      </c>
      <c r="H9" s="71">
        <f t="shared" si="3"/>
        <v>1598.7522057581155</v>
      </c>
      <c r="I9" s="71">
        <f t="shared" si="3"/>
        <v>1863.537929011047</v>
      </c>
      <c r="J9" s="71">
        <f t="shared" si="3"/>
        <v>2171.4141234763902</v>
      </c>
      <c r="K9" s="71">
        <f t="shared" si="3"/>
        <v>2523.928320997124</v>
      </c>
      <c r="L9" s="71">
        <f t="shared" si="3"/>
        <v>2817.778278411422</v>
      </c>
    </row>
    <row r="10" spans="2:12" x14ac:dyDescent="0.35">
      <c r="B10" s="8" t="s">
        <v>170</v>
      </c>
      <c r="C10" s="12">
        <f>C8+C9</f>
        <v>8460.4</v>
      </c>
      <c r="D10" s="12">
        <f t="shared" ref="D10:L10" si="4">D8+D9</f>
        <v>9327.1999999999989</v>
      </c>
      <c r="E10" s="12">
        <f t="shared" si="4"/>
        <v>10244</v>
      </c>
      <c r="F10" s="12">
        <f t="shared" si="4"/>
        <v>10626.099999999999</v>
      </c>
      <c r="G10" s="12">
        <f t="shared" si="4"/>
        <v>10796.599999999999</v>
      </c>
      <c r="H10" s="50">
        <f t="shared" si="4"/>
        <v>12274.158995060769</v>
      </c>
      <c r="I10" s="50">
        <f t="shared" si="4"/>
        <v>13141.200772642707</v>
      </c>
      <c r="J10" s="50">
        <f t="shared" si="4"/>
        <v>14021.169691588369</v>
      </c>
      <c r="K10" s="50">
        <f t="shared" si="4"/>
        <v>14914.530011450652</v>
      </c>
      <c r="L10" s="50">
        <f t="shared" si="4"/>
        <v>15790.291059281002</v>
      </c>
    </row>
    <row r="11" spans="2:12" x14ac:dyDescent="0.35">
      <c r="H11" s="58"/>
      <c r="I11" s="58"/>
      <c r="J11" s="58"/>
      <c r="K11" s="58"/>
      <c r="L11" s="58"/>
    </row>
    <row r="12" spans="2:12" x14ac:dyDescent="0.35">
      <c r="B12" s="8" t="s">
        <v>175</v>
      </c>
      <c r="C12" s="12">
        <f>'FCFF Line Items forecast'!H23</f>
        <v>-7476</v>
      </c>
      <c r="D12" s="12">
        <f>'FCFF Line Items forecast'!I23</f>
        <v>1651</v>
      </c>
      <c r="E12" s="12">
        <f>'FCFF Line Items forecast'!J23</f>
        <v>394</v>
      </c>
      <c r="F12" s="12">
        <f>'FCFF Line Items forecast'!K23</f>
        <v>-4417</v>
      </c>
      <c r="G12" s="12">
        <f>'FCFF Line Items forecast'!L23</f>
        <v>-1405</v>
      </c>
      <c r="H12" s="50">
        <f>'FCFF Line Items forecast'!M23</f>
        <v>796.84947869964139</v>
      </c>
      <c r="I12" s="50">
        <f>'FCFF Line Items forecast'!N23</f>
        <v>602.48512203103348</v>
      </c>
      <c r="J12" s="50">
        <f>'FCFF Line Items forecast'!O23</f>
        <v>279.6245146139309</v>
      </c>
      <c r="K12" s="50">
        <f>'FCFF Line Items forecast'!P23</f>
        <v>244.7613300991469</v>
      </c>
      <c r="L12" s="50">
        <f>'FCFF Line Items forecast'!Q23</f>
        <v>272.59357541282009</v>
      </c>
    </row>
    <row r="13" spans="2:12" x14ac:dyDescent="0.35">
      <c r="B13" s="8" t="s">
        <v>176</v>
      </c>
      <c r="C13" s="12">
        <f>'FCFF Line Items forecast'!H26</f>
        <v>4066</v>
      </c>
      <c r="D13" s="12">
        <f>'FCFF Line Items forecast'!I26</f>
        <v>1053</v>
      </c>
      <c r="E13" s="12">
        <f>'FCFF Line Items forecast'!J26</f>
        <v>1011</v>
      </c>
      <c r="F13" s="12">
        <f>'FCFF Line Items forecast'!K26</f>
        <v>1457</v>
      </c>
      <c r="G13" s="12">
        <f>'FCFF Line Items forecast'!L26</f>
        <v>1262</v>
      </c>
      <c r="H13" s="50">
        <f>'FCFF Line Items forecast'!M26</f>
        <v>1785.4507240928681</v>
      </c>
      <c r="I13" s="50">
        <f>'FCFF Line Items forecast'!N26</f>
        <v>2545.2442945979283</v>
      </c>
      <c r="J13" s="50">
        <f>'FCFF Line Items forecast'!O26</f>
        <v>3771.0473893610069</v>
      </c>
      <c r="K13" s="50">
        <f>'FCFF Line Items forecast'!P26</f>
        <v>5841.9207474786836</v>
      </c>
      <c r="L13" s="50">
        <f>'FCFF Line Items forecast'!Q26</f>
        <v>9358.2614874589999</v>
      </c>
    </row>
    <row r="14" spans="2:12" x14ac:dyDescent="0.35">
      <c r="C14" s="12"/>
      <c r="D14" s="12"/>
      <c r="E14" s="12"/>
      <c r="F14" s="12"/>
      <c r="G14" s="12"/>
      <c r="H14" s="50"/>
      <c r="I14" s="50"/>
      <c r="J14" s="50"/>
      <c r="K14" s="50"/>
      <c r="L14" s="50"/>
    </row>
    <row r="15" spans="2:12" ht="15" thickBot="1" x14ac:dyDescent="0.4">
      <c r="B15" s="23" t="s">
        <v>177</v>
      </c>
      <c r="C15" s="24">
        <f>C10+C12+C13+C14</f>
        <v>5050.3999999999996</v>
      </c>
      <c r="D15" s="24">
        <f t="shared" ref="D15:L15" si="5">D10+D12+D13+D14</f>
        <v>12031.199999999999</v>
      </c>
      <c r="E15" s="24">
        <f t="shared" si="5"/>
        <v>11649</v>
      </c>
      <c r="F15" s="24">
        <f t="shared" si="5"/>
        <v>7666.0999999999985</v>
      </c>
      <c r="G15" s="24">
        <f t="shared" si="5"/>
        <v>10653.599999999999</v>
      </c>
      <c r="H15" s="88">
        <f t="shared" si="5"/>
        <v>14856.459197853279</v>
      </c>
      <c r="I15" s="88">
        <f t="shared" si="5"/>
        <v>16288.930189271668</v>
      </c>
      <c r="J15" s="88">
        <f t="shared" si="5"/>
        <v>18071.84159556331</v>
      </c>
      <c r="K15" s="88">
        <f t="shared" si="5"/>
        <v>21001.212089028482</v>
      </c>
      <c r="L15" s="88">
        <f t="shared" si="5"/>
        <v>25421.146122152822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0"/>
  <sheetViews>
    <sheetView workbookViewId="0">
      <selection activeCell="C10" sqref="C10"/>
    </sheetView>
  </sheetViews>
  <sheetFormatPr defaultRowHeight="14.5" x14ac:dyDescent="0.35"/>
  <cols>
    <col min="1" max="16384" width="8.7265625" style="8"/>
  </cols>
  <sheetData>
    <row r="10" spans="2:2" ht="33.5" x14ac:dyDescent="0.75">
      <c r="B10" s="135" t="s">
        <v>252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3"/>
  <sheetViews>
    <sheetView zoomScale="120" zoomScaleNormal="120" zoomScalePageLayoutView="120" workbookViewId="0">
      <pane xSplit="1" ySplit="1" topLeftCell="B2" activePane="bottomRight" state="frozen"/>
      <selection activeCell="C4" sqref="C4"/>
      <selection pane="topRight" activeCell="C4" sqref="C4"/>
      <selection pane="bottomLeft" activeCell="C4" sqref="C4"/>
      <selection pane="bottomRight" activeCell="B3" sqref="B3"/>
    </sheetView>
  </sheetViews>
  <sheetFormatPr defaultColWidth="8.81640625" defaultRowHeight="14.5" x14ac:dyDescent="0.35"/>
  <cols>
    <col min="1" max="1" width="27.6328125" style="2" bestFit="1" customWidth="1"/>
    <col min="2" max="11" width="13.453125" style="2" bestFit="1" customWidth="1"/>
    <col min="12" max="16384" width="8.81640625" style="2"/>
  </cols>
  <sheetData>
    <row r="1" spans="1:11" s="1" customFormat="1" x14ac:dyDescent="0.35">
      <c r="A1" s="1" t="s">
        <v>0</v>
      </c>
      <c r="B1" s="1" t="s">
        <v>1</v>
      </c>
      <c r="E1" s="144" t="str">
        <f>IF(B2&lt;&gt;B3, "A NEW VERSION OF THE WORKSHEET IS AVAILABLE", "")</f>
        <v/>
      </c>
      <c r="F1" s="144"/>
      <c r="G1" s="144"/>
      <c r="H1" s="144"/>
      <c r="I1" s="144"/>
      <c r="J1" s="144"/>
      <c r="K1" s="144"/>
    </row>
    <row r="2" spans="1:11" x14ac:dyDescent="0.35">
      <c r="A2" s="1" t="s">
        <v>2</v>
      </c>
      <c r="B2" s="2">
        <v>2.1</v>
      </c>
      <c r="E2" s="145" t="s">
        <v>3</v>
      </c>
      <c r="F2" s="145"/>
      <c r="G2" s="145"/>
      <c r="H2" s="145"/>
      <c r="I2" s="145"/>
      <c r="J2" s="145"/>
      <c r="K2" s="145"/>
    </row>
    <row r="3" spans="1:11" x14ac:dyDescent="0.35">
      <c r="A3" s="1" t="s">
        <v>4</v>
      </c>
      <c r="B3" s="2">
        <v>2.1</v>
      </c>
    </row>
    <row r="4" spans="1:11" x14ac:dyDescent="0.35">
      <c r="A4" s="1"/>
    </row>
    <row r="5" spans="1:11" x14ac:dyDescent="0.35">
      <c r="A5" s="1" t="s">
        <v>5</v>
      </c>
    </row>
    <row r="6" spans="1:11" x14ac:dyDescent="0.35">
      <c r="A6" s="2" t="s">
        <v>6</v>
      </c>
      <c r="B6" s="2">
        <f>IF(B9&gt;0, B9/B8, 0)</f>
        <v>234.95911907270812</v>
      </c>
    </row>
    <row r="7" spans="1:11" x14ac:dyDescent="0.35">
      <c r="A7" s="2" t="s">
        <v>7</v>
      </c>
      <c r="B7">
        <v>1</v>
      </c>
    </row>
    <row r="8" spans="1:11" x14ac:dyDescent="0.35">
      <c r="A8" s="2" t="s">
        <v>8</v>
      </c>
      <c r="B8">
        <v>2372.5</v>
      </c>
    </row>
    <row r="9" spans="1:11" x14ac:dyDescent="0.35">
      <c r="A9" s="2" t="s">
        <v>9</v>
      </c>
      <c r="B9">
        <v>557440.51</v>
      </c>
    </row>
    <row r="15" spans="1:11" x14ac:dyDescent="0.35">
      <c r="A15" s="1" t="s">
        <v>10</v>
      </c>
    </row>
    <row r="16" spans="1:11" s="5" customFormat="1" x14ac:dyDescent="0.35">
      <c r="A16" s="3" t="s">
        <v>11</v>
      </c>
      <c r="B16" s="4">
        <v>42460</v>
      </c>
      <c r="C16" s="4">
        <v>42825</v>
      </c>
      <c r="D16" s="4">
        <v>43190</v>
      </c>
      <c r="E16" s="4">
        <v>43555</v>
      </c>
      <c r="F16" s="4">
        <v>43921</v>
      </c>
      <c r="G16" s="4">
        <v>44286</v>
      </c>
      <c r="H16" s="4">
        <v>44651</v>
      </c>
      <c r="I16" s="4">
        <v>45016</v>
      </c>
      <c r="J16" s="4">
        <v>45382</v>
      </c>
      <c r="K16" s="4">
        <v>45747</v>
      </c>
    </row>
    <row r="17" spans="1:11" s="6" customFormat="1" x14ac:dyDescent="0.35">
      <c r="A17" s="6" t="s">
        <v>12</v>
      </c>
      <c r="B17">
        <v>32186</v>
      </c>
      <c r="C17">
        <v>33162</v>
      </c>
      <c r="D17">
        <v>35545</v>
      </c>
      <c r="E17">
        <v>39310</v>
      </c>
      <c r="F17">
        <v>39783</v>
      </c>
      <c r="G17">
        <v>47028</v>
      </c>
      <c r="H17">
        <v>52446</v>
      </c>
      <c r="I17">
        <v>60580</v>
      </c>
      <c r="J17">
        <v>61896</v>
      </c>
      <c r="K17">
        <v>63121</v>
      </c>
    </row>
    <row r="18" spans="1:11" s="6" customFormat="1" x14ac:dyDescent="0.35">
      <c r="A18" s="2" t="s">
        <v>13</v>
      </c>
      <c r="B18">
        <v>13184</v>
      </c>
      <c r="C18">
        <v>13606</v>
      </c>
      <c r="D18">
        <v>14233</v>
      </c>
      <c r="E18">
        <v>15845</v>
      </c>
      <c r="F18">
        <v>15697</v>
      </c>
      <c r="G18">
        <v>20141</v>
      </c>
      <c r="H18">
        <v>22871</v>
      </c>
      <c r="I18">
        <v>28427</v>
      </c>
      <c r="J18">
        <v>26822</v>
      </c>
      <c r="K18">
        <v>30731</v>
      </c>
    </row>
    <row r="19" spans="1:11" s="6" customFormat="1" x14ac:dyDescent="0.35">
      <c r="A19" s="2" t="s">
        <v>14</v>
      </c>
      <c r="B19">
        <v>-83</v>
      </c>
      <c r="C19">
        <v>-144</v>
      </c>
      <c r="D19">
        <v>72</v>
      </c>
      <c r="E19">
        <v>-12</v>
      </c>
      <c r="F19">
        <v>108</v>
      </c>
      <c r="G19">
        <v>405</v>
      </c>
      <c r="H19">
        <v>22</v>
      </c>
      <c r="I19">
        <v>75</v>
      </c>
      <c r="J19">
        <v>11</v>
      </c>
      <c r="K19">
        <v>153</v>
      </c>
    </row>
    <row r="20" spans="1:11" s="6" customFormat="1" x14ac:dyDescent="0.35">
      <c r="A20" s="2" t="s">
        <v>15</v>
      </c>
      <c r="B20">
        <v>309</v>
      </c>
      <c r="C20">
        <v>295</v>
      </c>
      <c r="D20">
        <v>295</v>
      </c>
      <c r="E20">
        <v>308</v>
      </c>
      <c r="F20">
        <v>299</v>
      </c>
      <c r="G20">
        <v>339</v>
      </c>
      <c r="H20">
        <v>318</v>
      </c>
      <c r="I20">
        <v>384</v>
      </c>
      <c r="J20">
        <v>446</v>
      </c>
    </row>
    <row r="21" spans="1:11" s="6" customFormat="1" x14ac:dyDescent="0.35">
      <c r="A21" s="2" t="s">
        <v>16</v>
      </c>
      <c r="B21">
        <v>2966</v>
      </c>
      <c r="C21">
        <v>2887</v>
      </c>
      <c r="D21">
        <v>2998</v>
      </c>
      <c r="E21">
        <v>3041</v>
      </c>
      <c r="F21">
        <v>2906</v>
      </c>
      <c r="G21">
        <v>2868</v>
      </c>
      <c r="H21">
        <v>3354</v>
      </c>
      <c r="I21">
        <v>3791</v>
      </c>
      <c r="J21">
        <v>3385</v>
      </c>
    </row>
    <row r="22" spans="1:11" s="6" customFormat="1" x14ac:dyDescent="0.35">
      <c r="A22" s="2" t="s">
        <v>17</v>
      </c>
      <c r="B22">
        <v>1680</v>
      </c>
      <c r="C22">
        <v>1743</v>
      </c>
      <c r="D22">
        <v>1860</v>
      </c>
      <c r="E22">
        <v>1875</v>
      </c>
      <c r="F22">
        <v>1820</v>
      </c>
      <c r="G22">
        <v>2358</v>
      </c>
      <c r="H22">
        <v>2545</v>
      </c>
      <c r="I22">
        <v>2854</v>
      </c>
      <c r="J22">
        <v>3009</v>
      </c>
      <c r="K22">
        <v>3077</v>
      </c>
    </row>
    <row r="23" spans="1:11" s="6" customFormat="1" x14ac:dyDescent="0.35">
      <c r="A23" s="2" t="s">
        <v>18</v>
      </c>
      <c r="B23">
        <v>6741</v>
      </c>
      <c r="C23">
        <v>6689</v>
      </c>
      <c r="D23">
        <v>7252</v>
      </c>
      <c r="E23">
        <v>7796</v>
      </c>
      <c r="F23">
        <v>7620</v>
      </c>
      <c r="G23">
        <v>7906</v>
      </c>
      <c r="H23">
        <v>8164</v>
      </c>
      <c r="I23">
        <v>8785</v>
      </c>
      <c r="J23">
        <v>10773</v>
      </c>
      <c r="K23">
        <v>6199</v>
      </c>
    </row>
    <row r="24" spans="1:11" s="6" customFormat="1" x14ac:dyDescent="0.35">
      <c r="A24" s="2" t="s">
        <v>19</v>
      </c>
      <c r="B24">
        <v>1313</v>
      </c>
      <c r="C24">
        <v>1470</v>
      </c>
      <c r="D24">
        <v>1480</v>
      </c>
      <c r="E24">
        <v>1553</v>
      </c>
      <c r="F24">
        <v>1688</v>
      </c>
      <c r="G24">
        <v>2195</v>
      </c>
      <c r="H24">
        <v>2359</v>
      </c>
      <c r="I24">
        <v>2267</v>
      </c>
      <c r="J24">
        <v>2813</v>
      </c>
      <c r="K24">
        <v>8424</v>
      </c>
    </row>
    <row r="25" spans="1:11" s="6" customFormat="1" x14ac:dyDescent="0.35">
      <c r="A25" s="6" t="s">
        <v>20</v>
      </c>
      <c r="B25">
        <v>486</v>
      </c>
      <c r="C25">
        <v>606</v>
      </c>
      <c r="D25">
        <v>353</v>
      </c>
      <c r="E25">
        <v>322</v>
      </c>
      <c r="F25">
        <v>424</v>
      </c>
      <c r="G25">
        <v>170</v>
      </c>
      <c r="H25">
        <v>219</v>
      </c>
      <c r="I25">
        <v>448</v>
      </c>
      <c r="J25">
        <v>817</v>
      </c>
      <c r="K25">
        <v>1322</v>
      </c>
    </row>
    <row r="26" spans="1:11" s="6" customFormat="1" x14ac:dyDescent="0.35">
      <c r="A26" s="6" t="s">
        <v>21</v>
      </c>
      <c r="B26">
        <v>353</v>
      </c>
      <c r="C26">
        <v>432</v>
      </c>
      <c r="D26">
        <v>520</v>
      </c>
      <c r="E26">
        <v>565</v>
      </c>
      <c r="F26">
        <v>1002</v>
      </c>
      <c r="G26">
        <v>1074</v>
      </c>
      <c r="H26">
        <v>1091</v>
      </c>
      <c r="I26">
        <v>1137</v>
      </c>
      <c r="J26">
        <v>1216</v>
      </c>
      <c r="K26">
        <v>1355</v>
      </c>
    </row>
    <row r="27" spans="1:11" s="6" customFormat="1" x14ac:dyDescent="0.35">
      <c r="A27" s="6" t="s">
        <v>22</v>
      </c>
      <c r="B27">
        <v>17</v>
      </c>
      <c r="C27">
        <v>35</v>
      </c>
      <c r="D27">
        <v>26</v>
      </c>
      <c r="E27">
        <v>33</v>
      </c>
      <c r="F27">
        <v>118</v>
      </c>
      <c r="G27">
        <v>117</v>
      </c>
      <c r="H27">
        <v>106</v>
      </c>
      <c r="I27">
        <v>114</v>
      </c>
      <c r="J27">
        <v>334</v>
      </c>
      <c r="K27">
        <v>395</v>
      </c>
    </row>
    <row r="28" spans="1:11" s="6" customFormat="1" x14ac:dyDescent="0.35">
      <c r="A28" s="6" t="s">
        <v>23</v>
      </c>
      <c r="B28">
        <v>6026</v>
      </c>
      <c r="C28">
        <v>6467</v>
      </c>
      <c r="D28">
        <v>7306</v>
      </c>
      <c r="E28">
        <v>8604</v>
      </c>
      <c r="F28">
        <v>9165</v>
      </c>
      <c r="G28">
        <v>10605</v>
      </c>
      <c r="H28">
        <v>11879</v>
      </c>
      <c r="I28">
        <v>13344</v>
      </c>
      <c r="J28">
        <v>13926</v>
      </c>
      <c r="K28">
        <v>14415</v>
      </c>
    </row>
    <row r="29" spans="1:11" s="6" customFormat="1" x14ac:dyDescent="0.35">
      <c r="A29" s="6" t="s">
        <v>24</v>
      </c>
      <c r="B29">
        <v>1875</v>
      </c>
      <c r="C29">
        <v>1977</v>
      </c>
      <c r="D29">
        <v>2079</v>
      </c>
      <c r="E29">
        <v>2544</v>
      </c>
      <c r="F29">
        <v>2409</v>
      </c>
      <c r="G29">
        <v>2606</v>
      </c>
      <c r="H29">
        <v>2987</v>
      </c>
      <c r="I29">
        <v>3201</v>
      </c>
      <c r="J29">
        <v>3644</v>
      </c>
      <c r="K29">
        <v>3744</v>
      </c>
    </row>
    <row r="30" spans="1:11" s="6" customFormat="1" x14ac:dyDescent="0.35">
      <c r="A30" s="6" t="s">
        <v>25</v>
      </c>
      <c r="B30">
        <v>4151</v>
      </c>
      <c r="C30">
        <v>4476</v>
      </c>
      <c r="D30">
        <v>5214</v>
      </c>
      <c r="E30">
        <v>6054</v>
      </c>
      <c r="F30">
        <v>6748</v>
      </c>
      <c r="G30">
        <v>7995</v>
      </c>
      <c r="H30">
        <v>8879</v>
      </c>
      <c r="I30">
        <v>10120</v>
      </c>
      <c r="J30">
        <v>10277</v>
      </c>
      <c r="K30">
        <v>10649</v>
      </c>
    </row>
    <row r="31" spans="1:11" s="6" customFormat="1" x14ac:dyDescent="0.35">
      <c r="A31" s="6" t="s">
        <v>26</v>
      </c>
      <c r="B31">
        <v>3456</v>
      </c>
      <c r="C31">
        <v>3672</v>
      </c>
      <c r="D31">
        <v>4320</v>
      </c>
      <c r="E31">
        <v>4752</v>
      </c>
      <c r="F31">
        <v>5400</v>
      </c>
      <c r="G31">
        <v>9517.5</v>
      </c>
      <c r="H31">
        <v>7990</v>
      </c>
      <c r="I31">
        <v>9165</v>
      </c>
      <c r="J31">
        <v>9870</v>
      </c>
      <c r="K31">
        <v>12455</v>
      </c>
    </row>
    <row r="32" spans="1:11" s="6" customFormat="1" x14ac:dyDescent="0.35"/>
    <row r="33" spans="1:11" x14ac:dyDescent="0.35">
      <c r="A33" s="6"/>
    </row>
    <row r="34" spans="1:11" x14ac:dyDescent="0.35">
      <c r="A34" s="6"/>
    </row>
    <row r="35" spans="1:11" x14ac:dyDescent="0.35">
      <c r="A35" s="6"/>
    </row>
    <row r="36" spans="1:11" x14ac:dyDescent="0.35">
      <c r="A36" s="6"/>
    </row>
    <row r="37" spans="1:11" x14ac:dyDescent="0.35">
      <c r="A37" s="6"/>
    </row>
    <row r="38" spans="1:11" x14ac:dyDescent="0.35">
      <c r="A38" s="6"/>
    </row>
    <row r="39" spans="1:11" x14ac:dyDescent="0.35">
      <c r="A39" s="6"/>
    </row>
    <row r="40" spans="1:11" x14ac:dyDescent="0.35">
      <c r="A40" s="1" t="s">
        <v>27</v>
      </c>
    </row>
    <row r="41" spans="1:11" s="5" customFormat="1" x14ac:dyDescent="0.35">
      <c r="A41" s="3" t="s">
        <v>11</v>
      </c>
      <c r="B41" s="4">
        <v>44926</v>
      </c>
      <c r="C41" s="4">
        <v>45016</v>
      </c>
      <c r="D41" s="4">
        <v>45107</v>
      </c>
      <c r="E41" s="4">
        <v>45199</v>
      </c>
      <c r="F41" s="4">
        <v>45291</v>
      </c>
      <c r="G41" s="4">
        <v>45382</v>
      </c>
      <c r="H41" s="4">
        <v>45473</v>
      </c>
      <c r="I41" s="4">
        <v>45565</v>
      </c>
      <c r="J41" s="4">
        <v>45657</v>
      </c>
      <c r="K41" s="4">
        <v>45747</v>
      </c>
    </row>
    <row r="42" spans="1:11" s="6" customFormat="1" x14ac:dyDescent="0.35">
      <c r="A42" s="6" t="s">
        <v>12</v>
      </c>
      <c r="B42">
        <v>15597</v>
      </c>
      <c r="C42">
        <v>15215</v>
      </c>
      <c r="D42">
        <v>15496</v>
      </c>
      <c r="E42">
        <v>15623</v>
      </c>
      <c r="F42">
        <v>15567</v>
      </c>
      <c r="G42">
        <v>15210</v>
      </c>
      <c r="H42">
        <v>15707</v>
      </c>
      <c r="I42">
        <v>15926</v>
      </c>
      <c r="J42">
        <v>15818</v>
      </c>
      <c r="K42">
        <v>15670</v>
      </c>
    </row>
    <row r="43" spans="1:11" s="6" customFormat="1" x14ac:dyDescent="0.35">
      <c r="A43" s="6" t="s">
        <v>28</v>
      </c>
      <c r="B43">
        <v>11903</v>
      </c>
      <c r="C43">
        <v>11643</v>
      </c>
      <c r="D43">
        <v>11832</v>
      </c>
      <c r="E43">
        <v>11828</v>
      </c>
      <c r="F43">
        <v>11902</v>
      </c>
      <c r="G43">
        <v>11675</v>
      </c>
      <c r="H43">
        <v>11965</v>
      </c>
      <c r="I43">
        <v>12139</v>
      </c>
      <c r="J43">
        <v>12123</v>
      </c>
      <c r="K43">
        <v>12052</v>
      </c>
    </row>
    <row r="44" spans="1:11" s="6" customFormat="1" x14ac:dyDescent="0.35">
      <c r="A44" s="6" t="s">
        <v>20</v>
      </c>
      <c r="B44">
        <v>7</v>
      </c>
      <c r="C44">
        <v>240</v>
      </c>
      <c r="D44">
        <v>146</v>
      </c>
      <c r="E44">
        <v>178</v>
      </c>
      <c r="F44">
        <v>184</v>
      </c>
      <c r="G44">
        <v>309</v>
      </c>
      <c r="H44">
        <v>209</v>
      </c>
      <c r="I44">
        <v>203</v>
      </c>
      <c r="J44">
        <v>740</v>
      </c>
      <c r="K44">
        <v>171</v>
      </c>
    </row>
    <row r="45" spans="1:11" s="6" customFormat="1" x14ac:dyDescent="0.35">
      <c r="A45" s="6" t="s">
        <v>21</v>
      </c>
      <c r="B45">
        <v>293</v>
      </c>
      <c r="C45">
        <v>291</v>
      </c>
      <c r="D45">
        <v>286</v>
      </c>
      <c r="E45">
        <v>297</v>
      </c>
      <c r="F45">
        <v>313</v>
      </c>
      <c r="G45">
        <v>320</v>
      </c>
      <c r="H45">
        <v>329</v>
      </c>
      <c r="I45">
        <v>338</v>
      </c>
      <c r="J45">
        <v>341</v>
      </c>
      <c r="K45">
        <v>347</v>
      </c>
    </row>
    <row r="46" spans="1:11" s="6" customFormat="1" x14ac:dyDescent="0.35">
      <c r="A46" s="6" t="s">
        <v>22</v>
      </c>
      <c r="B46">
        <v>29</v>
      </c>
      <c r="C46">
        <v>29</v>
      </c>
      <c r="D46">
        <v>50</v>
      </c>
      <c r="E46">
        <v>88</v>
      </c>
      <c r="F46">
        <v>91</v>
      </c>
      <c r="G46">
        <v>105</v>
      </c>
      <c r="H46">
        <v>93</v>
      </c>
      <c r="I46">
        <v>110</v>
      </c>
      <c r="J46">
        <v>112</v>
      </c>
      <c r="K46">
        <v>80</v>
      </c>
    </row>
    <row r="47" spans="1:11" s="6" customFormat="1" x14ac:dyDescent="0.35">
      <c r="A47" s="6" t="s">
        <v>23</v>
      </c>
      <c r="B47">
        <v>3379</v>
      </c>
      <c r="C47">
        <v>3492</v>
      </c>
      <c r="D47">
        <v>3474</v>
      </c>
      <c r="E47">
        <v>3588</v>
      </c>
      <c r="F47">
        <v>3445</v>
      </c>
      <c r="G47">
        <v>3419</v>
      </c>
      <c r="H47">
        <v>3529</v>
      </c>
      <c r="I47">
        <v>3542</v>
      </c>
      <c r="J47">
        <v>3982</v>
      </c>
      <c r="K47">
        <v>3362</v>
      </c>
    </row>
    <row r="48" spans="1:11" s="6" customFormat="1" x14ac:dyDescent="0.35">
      <c r="A48" s="6" t="s">
        <v>24</v>
      </c>
      <c r="B48">
        <v>898</v>
      </c>
      <c r="C48">
        <v>891</v>
      </c>
      <c r="D48">
        <v>918</v>
      </c>
      <c r="E48">
        <v>931</v>
      </c>
      <c r="F48">
        <v>937</v>
      </c>
      <c r="G48">
        <v>858</v>
      </c>
      <c r="H48">
        <v>917</v>
      </c>
      <c r="I48">
        <v>947</v>
      </c>
      <c r="J48">
        <v>993</v>
      </c>
      <c r="K48">
        <v>887</v>
      </c>
    </row>
    <row r="49" spans="1:11" s="6" customFormat="1" x14ac:dyDescent="0.35">
      <c r="A49" s="6" t="s">
        <v>25</v>
      </c>
      <c r="B49">
        <v>2474</v>
      </c>
      <c r="C49">
        <v>2600</v>
      </c>
      <c r="D49">
        <v>2554</v>
      </c>
      <c r="E49">
        <v>2656</v>
      </c>
      <c r="F49">
        <v>2509</v>
      </c>
      <c r="G49">
        <v>2558</v>
      </c>
      <c r="H49">
        <v>2610</v>
      </c>
      <c r="I49">
        <v>2591</v>
      </c>
      <c r="J49">
        <v>2984</v>
      </c>
      <c r="K49">
        <v>2464</v>
      </c>
    </row>
    <row r="50" spans="1:11" x14ac:dyDescent="0.35">
      <c r="A50" s="6" t="s">
        <v>29</v>
      </c>
      <c r="B50">
        <v>3694</v>
      </c>
      <c r="C50">
        <v>3572</v>
      </c>
      <c r="D50">
        <v>3664</v>
      </c>
      <c r="E50">
        <v>3795</v>
      </c>
      <c r="F50">
        <v>3665</v>
      </c>
      <c r="G50">
        <v>3535</v>
      </c>
      <c r="H50">
        <v>3742</v>
      </c>
      <c r="I50">
        <v>3787</v>
      </c>
      <c r="J50">
        <v>3695</v>
      </c>
      <c r="K50">
        <v>3618</v>
      </c>
    </row>
    <row r="51" spans="1:11" x14ac:dyDescent="0.35">
      <c r="A51" s="6"/>
    </row>
    <row r="52" spans="1:11" x14ac:dyDescent="0.35">
      <c r="A52" s="6"/>
    </row>
    <row r="53" spans="1:11" x14ac:dyDescent="0.35">
      <c r="A53" s="6"/>
    </row>
    <row r="54" spans="1:11" x14ac:dyDescent="0.35">
      <c r="A54" s="6"/>
    </row>
    <row r="55" spans="1:11" x14ac:dyDescent="0.35">
      <c r="A55" s="1" t="s">
        <v>30</v>
      </c>
    </row>
    <row r="56" spans="1:11" s="5" customFormat="1" x14ac:dyDescent="0.35">
      <c r="A56" s="3" t="s">
        <v>11</v>
      </c>
      <c r="B56" s="4">
        <v>42460</v>
      </c>
      <c r="C56" s="4">
        <v>42825</v>
      </c>
      <c r="D56" s="4">
        <v>43190</v>
      </c>
      <c r="E56" s="4">
        <v>43555</v>
      </c>
      <c r="F56" s="4">
        <v>43921</v>
      </c>
      <c r="G56" s="4">
        <v>44286</v>
      </c>
      <c r="H56" s="4">
        <v>44651</v>
      </c>
      <c r="I56" s="4">
        <v>45016</v>
      </c>
      <c r="J56" s="4">
        <v>45382</v>
      </c>
      <c r="K56" s="4">
        <v>45747</v>
      </c>
    </row>
    <row r="57" spans="1:11" x14ac:dyDescent="0.35">
      <c r="A57" s="6" t="s">
        <v>31</v>
      </c>
      <c r="B57">
        <v>216</v>
      </c>
      <c r="C57">
        <v>216</v>
      </c>
      <c r="D57">
        <v>216</v>
      </c>
      <c r="E57">
        <v>216</v>
      </c>
      <c r="F57">
        <v>216</v>
      </c>
      <c r="G57">
        <v>235</v>
      </c>
      <c r="H57">
        <v>235</v>
      </c>
      <c r="I57">
        <v>235</v>
      </c>
      <c r="J57">
        <v>235</v>
      </c>
      <c r="K57">
        <v>235</v>
      </c>
    </row>
    <row r="58" spans="1:11" x14ac:dyDescent="0.35">
      <c r="A58" s="6" t="s">
        <v>32</v>
      </c>
      <c r="B58">
        <v>6357</v>
      </c>
      <c r="C58">
        <v>6528</v>
      </c>
      <c r="D58">
        <v>7065</v>
      </c>
      <c r="E58">
        <v>7651</v>
      </c>
      <c r="F58">
        <v>8013</v>
      </c>
      <c r="G58">
        <v>47439</v>
      </c>
      <c r="H58">
        <v>48826</v>
      </c>
      <c r="I58">
        <v>50069</v>
      </c>
      <c r="J58">
        <v>50983</v>
      </c>
      <c r="K58">
        <v>49167</v>
      </c>
    </row>
    <row r="59" spans="1:11" x14ac:dyDescent="0.35">
      <c r="A59" s="6" t="s">
        <v>33</v>
      </c>
      <c r="B59">
        <v>177</v>
      </c>
      <c r="C59">
        <v>277</v>
      </c>
      <c r="D59"/>
      <c r="E59">
        <v>99</v>
      </c>
      <c r="F59"/>
      <c r="G59"/>
      <c r="H59">
        <v>1043</v>
      </c>
      <c r="I59">
        <v>1219</v>
      </c>
      <c r="J59">
        <v>1484</v>
      </c>
      <c r="K59">
        <v>1648</v>
      </c>
    </row>
    <row r="60" spans="1:11" x14ac:dyDescent="0.35">
      <c r="A60" s="6" t="s">
        <v>34</v>
      </c>
      <c r="B60">
        <v>8043</v>
      </c>
      <c r="C60">
        <v>8685</v>
      </c>
      <c r="D60">
        <v>10581</v>
      </c>
      <c r="E60">
        <v>10663</v>
      </c>
      <c r="F60">
        <v>11924</v>
      </c>
      <c r="G60">
        <v>21066</v>
      </c>
      <c r="H60">
        <v>20402</v>
      </c>
      <c r="I60">
        <v>21554</v>
      </c>
      <c r="J60">
        <v>25787</v>
      </c>
      <c r="K60">
        <v>28830</v>
      </c>
    </row>
    <row r="61" spans="1:11" s="1" customFormat="1" x14ac:dyDescent="0.35">
      <c r="A61" s="1" t="s">
        <v>35</v>
      </c>
      <c r="B61">
        <v>14793</v>
      </c>
      <c r="C61">
        <v>15706</v>
      </c>
      <c r="D61">
        <v>17862</v>
      </c>
      <c r="E61">
        <v>18629</v>
      </c>
      <c r="F61">
        <v>20153</v>
      </c>
      <c r="G61">
        <v>68740</v>
      </c>
      <c r="H61">
        <v>70506</v>
      </c>
      <c r="I61">
        <v>73077</v>
      </c>
      <c r="J61">
        <v>78489</v>
      </c>
      <c r="K61">
        <v>79880</v>
      </c>
    </row>
    <row r="62" spans="1:11" x14ac:dyDescent="0.35">
      <c r="A62" s="6" t="s">
        <v>36</v>
      </c>
      <c r="B62">
        <v>3258</v>
      </c>
      <c r="C62">
        <v>4419</v>
      </c>
      <c r="D62">
        <v>4528</v>
      </c>
      <c r="E62">
        <v>4715</v>
      </c>
      <c r="F62">
        <v>5479</v>
      </c>
      <c r="G62">
        <v>51443</v>
      </c>
      <c r="H62">
        <v>51473</v>
      </c>
      <c r="I62">
        <v>52678</v>
      </c>
      <c r="J62">
        <v>53744</v>
      </c>
      <c r="K62">
        <v>54335</v>
      </c>
    </row>
    <row r="63" spans="1:11" x14ac:dyDescent="0.35">
      <c r="A63" s="6" t="s">
        <v>37</v>
      </c>
      <c r="B63">
        <v>408</v>
      </c>
      <c r="C63">
        <v>229</v>
      </c>
      <c r="D63">
        <v>461</v>
      </c>
      <c r="E63">
        <v>406</v>
      </c>
      <c r="F63">
        <v>597</v>
      </c>
      <c r="G63">
        <v>745</v>
      </c>
      <c r="H63">
        <v>1313</v>
      </c>
      <c r="I63">
        <v>1132</v>
      </c>
      <c r="J63">
        <v>1025</v>
      </c>
      <c r="K63">
        <v>1009</v>
      </c>
    </row>
    <row r="64" spans="1:11" x14ac:dyDescent="0.35">
      <c r="A64" s="6" t="s">
        <v>38</v>
      </c>
      <c r="B64">
        <v>2592</v>
      </c>
      <c r="C64">
        <v>3794</v>
      </c>
      <c r="D64">
        <v>2873</v>
      </c>
      <c r="E64">
        <v>2716</v>
      </c>
      <c r="F64">
        <v>1255</v>
      </c>
      <c r="G64">
        <v>2709</v>
      </c>
      <c r="H64">
        <v>3521</v>
      </c>
      <c r="I64">
        <v>2882</v>
      </c>
      <c r="J64">
        <v>4625</v>
      </c>
      <c r="K64">
        <v>3810</v>
      </c>
    </row>
    <row r="65" spans="1:11" x14ac:dyDescent="0.35">
      <c r="A65" s="6" t="s">
        <v>39</v>
      </c>
      <c r="B65">
        <v>8535</v>
      </c>
      <c r="C65">
        <v>7264</v>
      </c>
      <c r="D65">
        <v>10000</v>
      </c>
      <c r="E65">
        <v>10792</v>
      </c>
      <c r="F65">
        <v>12822</v>
      </c>
      <c r="G65">
        <v>13843</v>
      </c>
      <c r="H65">
        <v>14199</v>
      </c>
      <c r="I65">
        <v>16385</v>
      </c>
      <c r="J65">
        <v>19095</v>
      </c>
      <c r="K65">
        <v>20726</v>
      </c>
    </row>
    <row r="66" spans="1:11" s="1" customFormat="1" x14ac:dyDescent="0.35">
      <c r="A66" s="1" t="s">
        <v>35</v>
      </c>
      <c r="B66">
        <v>14793</v>
      </c>
      <c r="C66">
        <v>15706</v>
      </c>
      <c r="D66">
        <v>17862</v>
      </c>
      <c r="E66">
        <v>18629</v>
      </c>
      <c r="F66">
        <v>20153</v>
      </c>
      <c r="G66">
        <v>68740</v>
      </c>
      <c r="H66">
        <v>70506</v>
      </c>
      <c r="I66">
        <v>73077</v>
      </c>
      <c r="J66">
        <v>78489</v>
      </c>
      <c r="K66">
        <v>79880</v>
      </c>
    </row>
    <row r="67" spans="1:11" s="6" customFormat="1" x14ac:dyDescent="0.35">
      <c r="A67" s="6" t="s">
        <v>40</v>
      </c>
      <c r="B67">
        <v>1264</v>
      </c>
      <c r="C67">
        <v>1085</v>
      </c>
      <c r="D67">
        <v>1310</v>
      </c>
      <c r="E67">
        <v>1816</v>
      </c>
      <c r="F67">
        <v>1149</v>
      </c>
      <c r="G67">
        <v>1758</v>
      </c>
      <c r="H67">
        <v>2236</v>
      </c>
      <c r="I67">
        <v>3079</v>
      </c>
      <c r="J67">
        <v>2997</v>
      </c>
      <c r="K67">
        <v>3819</v>
      </c>
    </row>
    <row r="68" spans="1:11" x14ac:dyDescent="0.35">
      <c r="A68" s="6" t="s">
        <v>41</v>
      </c>
      <c r="B68">
        <v>2726</v>
      </c>
      <c r="C68">
        <v>2541</v>
      </c>
      <c r="D68">
        <v>2513</v>
      </c>
      <c r="E68">
        <v>2574</v>
      </c>
      <c r="F68">
        <v>2767</v>
      </c>
      <c r="G68">
        <v>3579</v>
      </c>
      <c r="H68">
        <v>4096</v>
      </c>
      <c r="I68">
        <v>4251</v>
      </c>
      <c r="J68">
        <v>4022</v>
      </c>
      <c r="K68">
        <v>4415</v>
      </c>
    </row>
    <row r="69" spans="1:11" x14ac:dyDescent="0.35">
      <c r="A69" s="2" t="s">
        <v>42</v>
      </c>
      <c r="B69">
        <v>3009</v>
      </c>
      <c r="C69">
        <v>1828</v>
      </c>
      <c r="D69">
        <v>3485</v>
      </c>
      <c r="E69">
        <v>3757</v>
      </c>
      <c r="F69">
        <v>5113</v>
      </c>
      <c r="G69">
        <v>4471</v>
      </c>
      <c r="H69">
        <v>3846</v>
      </c>
      <c r="I69">
        <v>4678</v>
      </c>
      <c r="J69">
        <v>7559</v>
      </c>
      <c r="K69">
        <v>7554</v>
      </c>
    </row>
    <row r="70" spans="1:11" x14ac:dyDescent="0.35">
      <c r="A70" s="2" t="s">
        <v>43</v>
      </c>
      <c r="B70">
        <v>2163936971</v>
      </c>
      <c r="C70">
        <v>2164349639</v>
      </c>
      <c r="D70">
        <v>2164528777</v>
      </c>
      <c r="E70">
        <v>2164704405</v>
      </c>
      <c r="F70">
        <v>2164704405</v>
      </c>
      <c r="G70">
        <v>2349567819</v>
      </c>
      <c r="H70">
        <v>2349591262</v>
      </c>
      <c r="I70">
        <v>2349591262</v>
      </c>
      <c r="J70">
        <v>2349591262</v>
      </c>
    </row>
    <row r="71" spans="1:11" x14ac:dyDescent="0.35">
      <c r="A71" s="2" t="s">
        <v>44</v>
      </c>
    </row>
    <row r="72" spans="1:11" x14ac:dyDescent="0.35">
      <c r="A72" s="2" t="s">
        <v>45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</row>
    <row r="74" spans="1:11" x14ac:dyDescent="0.35">
      <c r="A74" s="6"/>
    </row>
    <row r="75" spans="1:11" x14ac:dyDescent="0.35">
      <c r="A75" s="6"/>
    </row>
    <row r="76" spans="1:11" x14ac:dyDescent="0.35">
      <c r="A76" s="6"/>
    </row>
    <row r="77" spans="1:11" x14ac:dyDescent="0.35">
      <c r="A77" s="6"/>
    </row>
    <row r="78" spans="1:11" x14ac:dyDescent="0.35">
      <c r="A78" s="6"/>
    </row>
    <row r="79" spans="1:11" x14ac:dyDescent="0.35">
      <c r="A79" s="6"/>
    </row>
    <row r="80" spans="1:11" x14ac:dyDescent="0.35">
      <c r="A80" s="1" t="s">
        <v>46</v>
      </c>
    </row>
    <row r="81" spans="1:11" s="5" customFormat="1" x14ac:dyDescent="0.35">
      <c r="A81" s="3" t="s">
        <v>11</v>
      </c>
      <c r="B81" s="4">
        <v>42460</v>
      </c>
      <c r="C81" s="4">
        <v>42825</v>
      </c>
      <c r="D81" s="4">
        <v>43190</v>
      </c>
      <c r="E81" s="4">
        <v>43555</v>
      </c>
      <c r="F81" s="4">
        <v>43921</v>
      </c>
      <c r="G81" s="4">
        <v>44286</v>
      </c>
      <c r="H81" s="4">
        <v>44651</v>
      </c>
      <c r="I81" s="4">
        <v>45016</v>
      </c>
      <c r="J81" s="4">
        <v>45382</v>
      </c>
      <c r="K81" s="4">
        <v>45747</v>
      </c>
    </row>
    <row r="82" spans="1:11" s="1" customFormat="1" x14ac:dyDescent="0.35">
      <c r="A82" s="6" t="s">
        <v>47</v>
      </c>
      <c r="B82">
        <v>4171</v>
      </c>
      <c r="C82">
        <v>5185</v>
      </c>
      <c r="D82">
        <v>6059</v>
      </c>
      <c r="E82">
        <v>5800</v>
      </c>
      <c r="F82">
        <v>7623</v>
      </c>
      <c r="G82">
        <v>9163</v>
      </c>
      <c r="H82">
        <v>9048</v>
      </c>
      <c r="I82">
        <v>9991</v>
      </c>
      <c r="J82">
        <v>15469</v>
      </c>
      <c r="K82">
        <v>11886</v>
      </c>
    </row>
    <row r="83" spans="1:11" s="6" customFormat="1" x14ac:dyDescent="0.35">
      <c r="A83" s="6" t="s">
        <v>48</v>
      </c>
      <c r="B83">
        <v>-282</v>
      </c>
      <c r="C83">
        <v>-1173</v>
      </c>
      <c r="D83">
        <v>-1063</v>
      </c>
      <c r="E83">
        <v>-438</v>
      </c>
      <c r="F83">
        <v>1791</v>
      </c>
      <c r="G83">
        <v>-1228</v>
      </c>
      <c r="H83">
        <v>-1728</v>
      </c>
      <c r="I83">
        <v>-1484</v>
      </c>
      <c r="J83">
        <v>-5324</v>
      </c>
      <c r="K83">
        <v>6473</v>
      </c>
    </row>
    <row r="84" spans="1:11" s="6" customFormat="1" x14ac:dyDescent="0.35">
      <c r="A84" s="6" t="s">
        <v>49</v>
      </c>
      <c r="B84">
        <v>-3864</v>
      </c>
      <c r="C84">
        <v>-4214</v>
      </c>
      <c r="D84">
        <v>-4975</v>
      </c>
      <c r="E84">
        <v>-5390</v>
      </c>
      <c r="F84">
        <v>-6819</v>
      </c>
      <c r="G84">
        <v>-9309</v>
      </c>
      <c r="H84">
        <v>-8015</v>
      </c>
      <c r="I84">
        <v>-8953</v>
      </c>
      <c r="J84">
        <v>-10034</v>
      </c>
      <c r="K84">
        <v>-13101</v>
      </c>
    </row>
    <row r="85" spans="1:11" s="1" customFormat="1" x14ac:dyDescent="0.35">
      <c r="A85" s="6" t="s">
        <v>50</v>
      </c>
      <c r="B85">
        <v>25</v>
      </c>
      <c r="C85">
        <v>-202</v>
      </c>
      <c r="D85">
        <v>21</v>
      </c>
      <c r="E85">
        <v>-28</v>
      </c>
      <c r="F85">
        <v>2595</v>
      </c>
      <c r="G85">
        <v>-1374</v>
      </c>
      <c r="H85">
        <v>-695</v>
      </c>
      <c r="I85">
        <v>-446</v>
      </c>
      <c r="J85">
        <v>111</v>
      </c>
      <c r="K85">
        <v>5258</v>
      </c>
    </row>
    <row r="86" spans="1:11" x14ac:dyDescent="0.35">
      <c r="A86" s="6"/>
    </row>
    <row r="87" spans="1:11" x14ac:dyDescent="0.35">
      <c r="A87" s="6"/>
    </row>
    <row r="88" spans="1:11" x14ac:dyDescent="0.35">
      <c r="A88" s="6"/>
    </row>
    <row r="89" spans="1:11" x14ac:dyDescent="0.35">
      <c r="A89" s="6"/>
    </row>
    <row r="90" spans="1:11" s="1" customFormat="1" x14ac:dyDescent="0.35">
      <c r="A90" s="1" t="s">
        <v>51</v>
      </c>
      <c r="B90">
        <v>869.5</v>
      </c>
      <c r="C90">
        <v>911.75</v>
      </c>
      <c r="D90">
        <v>1333.35</v>
      </c>
      <c r="E90">
        <v>1706.8</v>
      </c>
      <c r="F90">
        <v>2298.5</v>
      </c>
      <c r="G90">
        <v>2431.5</v>
      </c>
      <c r="H90">
        <v>2048.65</v>
      </c>
      <c r="I90">
        <v>2560.35</v>
      </c>
      <c r="J90">
        <v>2264.35</v>
      </c>
      <c r="K90">
        <v>2258.85</v>
      </c>
    </row>
    <row r="92" spans="1:11" s="1" customFormat="1" x14ac:dyDescent="0.35">
      <c r="A92" s="1" t="s">
        <v>52</v>
      </c>
    </row>
    <row r="93" spans="1:11" x14ac:dyDescent="0.35">
      <c r="A93" s="2" t="s">
        <v>53</v>
      </c>
      <c r="B93" s="7">
        <v>216.39</v>
      </c>
      <c r="C93" s="7">
        <v>216.43</v>
      </c>
      <c r="D93" s="7">
        <v>216.45</v>
      </c>
      <c r="E93" s="7">
        <v>216.47</v>
      </c>
      <c r="F93" s="7">
        <v>216.48</v>
      </c>
      <c r="G93" s="7">
        <v>234.96</v>
      </c>
      <c r="H93" s="7">
        <v>234.96</v>
      </c>
      <c r="I93" s="7">
        <v>234.96</v>
      </c>
      <c r="J93" s="7">
        <v>234.96</v>
      </c>
      <c r="K93" s="7">
        <v>234.96</v>
      </c>
    </row>
  </sheetData>
  <mergeCells count="2">
    <mergeCell ref="E1:K1"/>
    <mergeCell ref="E2:K2"/>
  </mergeCells>
  <conditionalFormatting sqref="E1:K1">
    <cfRule type="cellIs" dxfId="0" priority="1" operator="notEqual">
      <formula>""</formula>
    </cfRule>
  </conditionalFormatting>
  <hyperlinks>
    <hyperlink ref="E1:K1" r:id="rId1" display="https://www.screener.in/excel/"/>
  </hyperlinks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P34"/>
  <sheetViews>
    <sheetView workbookViewId="0"/>
  </sheetViews>
  <sheetFormatPr defaultRowHeight="14.5" x14ac:dyDescent="0.35"/>
  <cols>
    <col min="1" max="1" width="1.90625" style="8" customWidth="1"/>
    <col min="2" max="2" width="29.36328125" style="8" customWidth="1"/>
    <col min="3" max="4" width="8.7265625" style="121"/>
    <col min="5" max="16384" width="8.7265625" style="8"/>
  </cols>
  <sheetData>
    <row r="2" spans="2:16" x14ac:dyDescent="0.35">
      <c r="B2" s="122"/>
      <c r="C2" s="123">
        <v>41699</v>
      </c>
      <c r="D2" s="123">
        <v>42064</v>
      </c>
      <c r="E2" s="112">
        <v>42430</v>
      </c>
      <c r="F2" s="112">
        <v>42795</v>
      </c>
      <c r="G2" s="112">
        <v>43160</v>
      </c>
      <c r="H2" s="112">
        <v>43525</v>
      </c>
      <c r="I2" s="112">
        <v>43891</v>
      </c>
      <c r="J2" s="112">
        <v>44256</v>
      </c>
      <c r="K2" s="112">
        <v>44621</v>
      </c>
      <c r="L2" s="112">
        <v>44986</v>
      </c>
      <c r="M2" s="112">
        <v>45352</v>
      </c>
      <c r="N2" s="112">
        <v>45717</v>
      </c>
    </row>
    <row r="3" spans="2:16" x14ac:dyDescent="0.35">
      <c r="B3" s="115" t="s">
        <v>111</v>
      </c>
      <c r="C3" s="124">
        <v>3818</v>
      </c>
      <c r="D3" s="124">
        <v>3292</v>
      </c>
      <c r="E3" s="116">
        <v>4171</v>
      </c>
      <c r="F3" s="116">
        <v>5185</v>
      </c>
      <c r="G3" s="116">
        <v>6059</v>
      </c>
      <c r="H3" s="116">
        <v>5800</v>
      </c>
      <c r="I3" s="116">
        <v>7623</v>
      </c>
      <c r="J3" s="116">
        <v>9163</v>
      </c>
      <c r="K3" s="116">
        <v>9048</v>
      </c>
      <c r="L3" s="116">
        <v>9991</v>
      </c>
      <c r="M3" s="116">
        <v>15469</v>
      </c>
      <c r="N3" s="116">
        <v>11886</v>
      </c>
    </row>
    <row r="4" spans="2:16" x14ac:dyDescent="0.35">
      <c r="B4" s="8" t="s">
        <v>89</v>
      </c>
      <c r="C4" s="125">
        <v>4802</v>
      </c>
      <c r="D4" s="125">
        <v>5510</v>
      </c>
      <c r="E4" s="109">
        <v>6025</v>
      </c>
      <c r="F4" s="109">
        <v>6512</v>
      </c>
      <c r="G4" s="109">
        <v>7485</v>
      </c>
      <c r="H4" s="109">
        <v>8909</v>
      </c>
      <c r="I4" s="109">
        <v>9723</v>
      </c>
      <c r="J4" s="109">
        <v>11672</v>
      </c>
      <c r="K4" s="109">
        <v>12829</v>
      </c>
      <c r="L4" s="109">
        <v>14089</v>
      </c>
      <c r="M4" s="109">
        <v>14537</v>
      </c>
      <c r="N4" s="109">
        <v>14942</v>
      </c>
      <c r="P4" s="109"/>
    </row>
    <row r="5" spans="2:16" x14ac:dyDescent="0.35">
      <c r="B5" s="8" t="s">
        <v>40</v>
      </c>
      <c r="C5" s="126">
        <v>-17</v>
      </c>
      <c r="D5" s="125">
        <v>3</v>
      </c>
      <c r="E5" s="109">
        <v>-257</v>
      </c>
      <c r="F5" s="109">
        <v>173</v>
      </c>
      <c r="G5" s="109">
        <v>0</v>
      </c>
      <c r="H5" s="109">
        <v>0</v>
      </c>
      <c r="I5" s="109">
        <v>0</v>
      </c>
      <c r="J5" s="109">
        <v>0</v>
      </c>
      <c r="K5" s="8">
        <v>0</v>
      </c>
      <c r="L5" s="109">
        <v>0</v>
      </c>
      <c r="M5" s="109">
        <v>0</v>
      </c>
      <c r="N5" s="109">
        <v>0</v>
      </c>
      <c r="P5" s="109"/>
    </row>
    <row r="6" spans="2:16" x14ac:dyDescent="0.35">
      <c r="B6" s="8" t="s">
        <v>41</v>
      </c>
      <c r="C6" s="125">
        <v>-201</v>
      </c>
      <c r="D6" s="125">
        <v>91</v>
      </c>
      <c r="E6" s="109">
        <v>89</v>
      </c>
      <c r="F6" s="109">
        <v>37</v>
      </c>
      <c r="G6" s="109">
        <v>-146</v>
      </c>
      <c r="H6" s="109">
        <v>-195</v>
      </c>
      <c r="I6" s="109">
        <v>-331</v>
      </c>
      <c r="J6" s="109">
        <v>-543</v>
      </c>
      <c r="K6" s="8">
        <v>-758</v>
      </c>
      <c r="L6" s="109">
        <v>-339</v>
      </c>
      <c r="M6" s="109">
        <v>74</v>
      </c>
      <c r="N6" s="109">
        <v>-584</v>
      </c>
    </row>
    <row r="7" spans="2:16" x14ac:dyDescent="0.35">
      <c r="B7" s="8" t="s">
        <v>90</v>
      </c>
      <c r="C7" s="125">
        <v>546</v>
      </c>
      <c r="D7" s="125">
        <v>-327</v>
      </c>
      <c r="E7" s="109">
        <v>164</v>
      </c>
      <c r="F7" s="109">
        <v>501</v>
      </c>
      <c r="G7" s="109">
        <v>0</v>
      </c>
      <c r="H7" s="109">
        <v>0</v>
      </c>
      <c r="I7" s="109">
        <v>0</v>
      </c>
      <c r="J7" s="109">
        <v>0</v>
      </c>
      <c r="K7" s="109">
        <v>0</v>
      </c>
      <c r="L7" s="109">
        <v>0</v>
      </c>
      <c r="M7" s="109">
        <v>0</v>
      </c>
      <c r="N7" s="109">
        <v>0</v>
      </c>
    </row>
    <row r="8" spans="2:16" x14ac:dyDescent="0.35">
      <c r="B8" s="8" t="s">
        <v>91</v>
      </c>
      <c r="C8" s="126">
        <v>-4</v>
      </c>
      <c r="D8" s="126">
        <v>-148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109">
        <v>0</v>
      </c>
    </row>
    <row r="9" spans="2:16" x14ac:dyDescent="0.35">
      <c r="B9" s="8" t="s">
        <v>92</v>
      </c>
      <c r="C9" s="125">
        <v>81</v>
      </c>
      <c r="D9" s="126">
        <v>38</v>
      </c>
      <c r="E9" s="109">
        <v>-77</v>
      </c>
      <c r="F9" s="109">
        <v>-99</v>
      </c>
      <c r="G9" s="8">
        <v>982</v>
      </c>
      <c r="H9" s="109">
        <v>-147</v>
      </c>
      <c r="I9" s="8">
        <v>742</v>
      </c>
      <c r="J9" s="109">
        <v>442</v>
      </c>
      <c r="K9" s="109">
        <v>-242</v>
      </c>
      <c r="L9" s="109">
        <v>-621</v>
      </c>
      <c r="M9" s="109">
        <v>1239</v>
      </c>
      <c r="N9" s="109">
        <v>-204</v>
      </c>
    </row>
    <row r="10" spans="2:16" x14ac:dyDescent="0.35">
      <c r="B10" s="8" t="s">
        <v>93</v>
      </c>
      <c r="C10" s="125">
        <v>405</v>
      </c>
      <c r="D10" s="125">
        <v>-342</v>
      </c>
      <c r="E10" s="109">
        <v>-81</v>
      </c>
      <c r="F10" s="109">
        <v>566</v>
      </c>
      <c r="G10" s="109">
        <v>836</v>
      </c>
      <c r="H10" s="109">
        <v>-342</v>
      </c>
      <c r="I10" s="109">
        <v>411</v>
      </c>
      <c r="J10" s="8">
        <v>-101</v>
      </c>
      <c r="K10" s="109">
        <v>-1000</v>
      </c>
      <c r="L10" s="109">
        <v>-960</v>
      </c>
      <c r="M10" s="109">
        <v>1313</v>
      </c>
      <c r="N10" s="109">
        <v>-788</v>
      </c>
    </row>
    <row r="11" spans="2:16" x14ac:dyDescent="0.35">
      <c r="B11" s="8" t="s">
        <v>94</v>
      </c>
      <c r="C11" s="125">
        <v>-1384</v>
      </c>
      <c r="D11" s="125">
        <v>-1862</v>
      </c>
      <c r="E11" s="109">
        <v>-1765</v>
      </c>
      <c r="F11" s="109">
        <v>-1859</v>
      </c>
      <c r="G11" s="109">
        <v>-2264</v>
      </c>
      <c r="H11" s="109">
        <v>-2767</v>
      </c>
      <c r="I11" s="109">
        <v>-2505</v>
      </c>
      <c r="J11" s="109">
        <v>-2407</v>
      </c>
      <c r="K11" s="109">
        <v>-2784</v>
      </c>
      <c r="L11" s="109">
        <v>-3138</v>
      </c>
      <c r="M11" s="109">
        <v>-381</v>
      </c>
      <c r="N11" s="109">
        <v>-2268</v>
      </c>
    </row>
    <row r="12" spans="2:16" x14ac:dyDescent="0.35">
      <c r="B12" s="8" t="s">
        <v>156</v>
      </c>
      <c r="C12" s="125">
        <v>-5</v>
      </c>
      <c r="D12" s="125">
        <v>-14</v>
      </c>
      <c r="E12" s="109">
        <v>-8</v>
      </c>
      <c r="F12" s="109">
        <v>-21</v>
      </c>
      <c r="G12" s="109">
        <v>0</v>
      </c>
      <c r="H12" s="109">
        <v>0</v>
      </c>
      <c r="I12" s="109">
        <v>0</v>
      </c>
      <c r="J12" s="109">
        <v>0</v>
      </c>
      <c r="K12" s="109">
        <v>0</v>
      </c>
      <c r="L12" s="109">
        <v>0</v>
      </c>
      <c r="M12" s="109">
        <v>0</v>
      </c>
      <c r="N12" s="109">
        <v>0</v>
      </c>
    </row>
    <row r="13" spans="2:16" x14ac:dyDescent="0.35">
      <c r="B13" s="8" t="s">
        <v>157</v>
      </c>
      <c r="C13" s="125">
        <v>0</v>
      </c>
      <c r="D13" s="125">
        <v>0</v>
      </c>
      <c r="E13" s="109">
        <v>0</v>
      </c>
      <c r="F13" s="109">
        <v>-13</v>
      </c>
      <c r="G13" s="109">
        <v>2</v>
      </c>
      <c r="H13" s="109">
        <v>0</v>
      </c>
      <c r="I13" s="109">
        <v>-6</v>
      </c>
      <c r="J13" s="109">
        <v>-1</v>
      </c>
      <c r="K13" s="109">
        <v>3</v>
      </c>
      <c r="L13" s="109">
        <v>0</v>
      </c>
      <c r="M13" s="109">
        <v>0</v>
      </c>
      <c r="N13" s="109">
        <v>0</v>
      </c>
    </row>
    <row r="14" spans="2:16" x14ac:dyDescent="0.35">
      <c r="B14" s="115" t="s">
        <v>112</v>
      </c>
      <c r="C14" s="127">
        <v>-475</v>
      </c>
      <c r="D14" s="127">
        <v>138</v>
      </c>
      <c r="E14" s="115">
        <v>-282</v>
      </c>
      <c r="F14" s="116">
        <v>-1173</v>
      </c>
      <c r="G14" s="116">
        <v>-1063</v>
      </c>
      <c r="H14" s="115">
        <v>-438</v>
      </c>
      <c r="I14" s="116">
        <v>1791</v>
      </c>
      <c r="J14" s="116">
        <v>-1228</v>
      </c>
      <c r="K14" s="116">
        <v>-1728</v>
      </c>
      <c r="L14" s="116">
        <v>-1484</v>
      </c>
      <c r="M14" s="116">
        <v>-5324</v>
      </c>
      <c r="N14" s="116">
        <v>6473</v>
      </c>
    </row>
    <row r="15" spans="2:16" x14ac:dyDescent="0.35">
      <c r="B15" s="8" t="s">
        <v>95</v>
      </c>
      <c r="C15" s="126">
        <v>-606</v>
      </c>
      <c r="D15" s="125">
        <v>-606</v>
      </c>
      <c r="E15" s="109">
        <v>-810</v>
      </c>
      <c r="F15" s="109">
        <v>-1113</v>
      </c>
      <c r="G15" s="8">
        <v>-895</v>
      </c>
      <c r="H15" s="8">
        <v>-767</v>
      </c>
      <c r="I15" s="109">
        <v>-862</v>
      </c>
      <c r="J15" s="109">
        <v>-4163</v>
      </c>
      <c r="K15" s="109">
        <v>-1228</v>
      </c>
      <c r="L15" s="109">
        <v>-1192</v>
      </c>
      <c r="M15" s="109">
        <v>-1477</v>
      </c>
      <c r="N15" s="109">
        <v>-1275</v>
      </c>
    </row>
    <row r="16" spans="2:16" x14ac:dyDescent="0.35">
      <c r="B16" s="8" t="s">
        <v>96</v>
      </c>
      <c r="C16" s="126">
        <v>229</v>
      </c>
      <c r="D16" s="126">
        <v>560</v>
      </c>
      <c r="E16" s="8">
        <v>99</v>
      </c>
      <c r="F16" s="109">
        <v>176</v>
      </c>
      <c r="G16" s="109">
        <v>32</v>
      </c>
      <c r="H16" s="109">
        <v>13</v>
      </c>
      <c r="I16" s="8">
        <v>52</v>
      </c>
      <c r="J16" s="8">
        <v>97</v>
      </c>
      <c r="K16" s="8">
        <v>175</v>
      </c>
      <c r="L16" s="109">
        <v>181</v>
      </c>
      <c r="M16" s="109">
        <v>20</v>
      </c>
      <c r="N16" s="8">
        <v>13</v>
      </c>
    </row>
    <row r="17" spans="2:14" x14ac:dyDescent="0.35">
      <c r="B17" s="8" t="s">
        <v>97</v>
      </c>
      <c r="C17" s="125">
        <v>-9538</v>
      </c>
      <c r="D17" s="125">
        <v>-19353</v>
      </c>
      <c r="E17" s="109">
        <v>-20666</v>
      </c>
      <c r="F17" s="109">
        <v>-31214</v>
      </c>
      <c r="G17" s="109">
        <v>-51855</v>
      </c>
      <c r="H17" s="109">
        <v>-74365</v>
      </c>
      <c r="I17" s="109">
        <v>-36090</v>
      </c>
      <c r="J17" s="109">
        <v>-39920</v>
      </c>
      <c r="K17" s="109">
        <v>-48522</v>
      </c>
      <c r="L17" s="109">
        <v>-22649</v>
      </c>
      <c r="M17" s="109">
        <v>-21337</v>
      </c>
      <c r="N17" s="109">
        <v>-22957</v>
      </c>
    </row>
    <row r="18" spans="2:14" x14ac:dyDescent="0.35">
      <c r="B18" s="8" t="s">
        <v>98</v>
      </c>
      <c r="C18" s="125">
        <v>9213</v>
      </c>
      <c r="D18" s="125">
        <v>19461</v>
      </c>
      <c r="E18" s="109">
        <v>20937</v>
      </c>
      <c r="F18" s="109">
        <v>30083</v>
      </c>
      <c r="G18" s="109">
        <v>52897</v>
      </c>
      <c r="H18" s="109">
        <v>74691</v>
      </c>
      <c r="I18" s="109">
        <v>37690</v>
      </c>
      <c r="J18" s="109">
        <v>38486</v>
      </c>
      <c r="K18" s="109">
        <v>47786</v>
      </c>
      <c r="L18" s="109">
        <v>23462</v>
      </c>
      <c r="M18" s="109">
        <v>19846</v>
      </c>
      <c r="N18" s="109">
        <v>23987</v>
      </c>
    </row>
    <row r="19" spans="2:14" x14ac:dyDescent="0.35">
      <c r="B19" s="8" t="s">
        <v>99</v>
      </c>
      <c r="C19" s="126">
        <v>232</v>
      </c>
      <c r="D19" s="126">
        <v>218</v>
      </c>
      <c r="E19" s="8">
        <v>315</v>
      </c>
      <c r="F19" s="8">
        <v>264</v>
      </c>
      <c r="G19" s="8">
        <v>297</v>
      </c>
      <c r="H19" s="8">
        <v>289</v>
      </c>
      <c r="I19" s="8">
        <v>351</v>
      </c>
      <c r="J19" s="8">
        <v>277</v>
      </c>
      <c r="K19" s="8">
        <v>161</v>
      </c>
      <c r="L19" s="8">
        <v>259</v>
      </c>
      <c r="M19" s="8">
        <v>425</v>
      </c>
      <c r="N19" s="8">
        <v>835</v>
      </c>
    </row>
    <row r="20" spans="2:14" x14ac:dyDescent="0.35">
      <c r="B20" s="8" t="s">
        <v>100</v>
      </c>
      <c r="C20" s="126">
        <v>16</v>
      </c>
      <c r="D20" s="126">
        <v>24</v>
      </c>
      <c r="E20" s="8">
        <v>33</v>
      </c>
      <c r="F20" s="8">
        <v>14</v>
      </c>
      <c r="G20" s="8">
        <v>0</v>
      </c>
      <c r="H20" s="8">
        <v>1</v>
      </c>
      <c r="I20" s="8">
        <v>1</v>
      </c>
      <c r="J20" s="8">
        <v>1</v>
      </c>
      <c r="K20" s="8">
        <v>1</v>
      </c>
      <c r="L20" s="8">
        <v>2</v>
      </c>
      <c r="M20" s="8">
        <v>3</v>
      </c>
      <c r="N20" s="8">
        <v>0</v>
      </c>
    </row>
    <row r="21" spans="2:14" x14ac:dyDescent="0.35">
      <c r="B21" s="8" t="s">
        <v>158</v>
      </c>
      <c r="C21" s="126">
        <v>-101</v>
      </c>
      <c r="D21" s="126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</row>
    <row r="22" spans="2:14" x14ac:dyDescent="0.35">
      <c r="B22" s="8" t="s">
        <v>159</v>
      </c>
      <c r="C22" s="126">
        <v>-104</v>
      </c>
      <c r="D22" s="126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</row>
    <row r="23" spans="2:14" x14ac:dyDescent="0.35">
      <c r="B23" s="8" t="s">
        <v>101</v>
      </c>
      <c r="C23" s="125">
        <v>0</v>
      </c>
      <c r="D23" s="126">
        <v>200</v>
      </c>
      <c r="E23" s="109">
        <v>161</v>
      </c>
      <c r="F23" s="109">
        <v>20</v>
      </c>
      <c r="G23" s="109">
        <v>73</v>
      </c>
      <c r="H23" s="109">
        <v>0</v>
      </c>
      <c r="I23" s="109">
        <v>0</v>
      </c>
      <c r="J23" s="109">
        <v>0</v>
      </c>
      <c r="K23" s="109">
        <v>0</v>
      </c>
      <c r="L23" s="109">
        <v>0</v>
      </c>
      <c r="M23" s="109">
        <v>0</v>
      </c>
      <c r="N23" s="8">
        <v>0</v>
      </c>
    </row>
    <row r="24" spans="2:14" x14ac:dyDescent="0.35">
      <c r="B24" s="8" t="s">
        <v>102</v>
      </c>
      <c r="C24" s="125">
        <v>0</v>
      </c>
      <c r="D24" s="125">
        <v>0</v>
      </c>
      <c r="E24" s="109">
        <v>0</v>
      </c>
      <c r="F24" s="109">
        <v>0</v>
      </c>
      <c r="G24" s="109">
        <v>0</v>
      </c>
      <c r="H24" s="109">
        <v>0</v>
      </c>
      <c r="I24" s="109">
        <v>0</v>
      </c>
      <c r="J24" s="109">
        <v>0</v>
      </c>
      <c r="K24" s="109">
        <v>0</v>
      </c>
      <c r="L24" s="109">
        <v>-334</v>
      </c>
      <c r="M24" s="109">
        <v>0</v>
      </c>
      <c r="N24" s="109">
        <v>0</v>
      </c>
    </row>
    <row r="25" spans="2:14" x14ac:dyDescent="0.35">
      <c r="B25" s="8" t="s">
        <v>103</v>
      </c>
      <c r="C25" s="126">
        <v>183</v>
      </c>
      <c r="D25" s="126">
        <v>-367</v>
      </c>
      <c r="E25" s="109">
        <v>-351</v>
      </c>
      <c r="F25" s="8">
        <v>597</v>
      </c>
      <c r="G25" s="109">
        <v>-1612</v>
      </c>
      <c r="H25" s="8">
        <v>-300</v>
      </c>
      <c r="I25" s="109">
        <v>649</v>
      </c>
      <c r="J25" s="109">
        <v>3994</v>
      </c>
      <c r="K25" s="8">
        <v>-101</v>
      </c>
      <c r="L25" s="109">
        <v>-1213</v>
      </c>
      <c r="M25" s="109">
        <v>-2804</v>
      </c>
      <c r="N25" s="109">
        <v>5870</v>
      </c>
    </row>
    <row r="26" spans="2:14" x14ac:dyDescent="0.35">
      <c r="B26" s="115" t="s">
        <v>113</v>
      </c>
      <c r="C26" s="124">
        <v>-2960</v>
      </c>
      <c r="D26" s="124">
        <v>-3462</v>
      </c>
      <c r="E26" s="116">
        <v>-3864</v>
      </c>
      <c r="F26" s="116">
        <v>-4214</v>
      </c>
      <c r="G26" s="116">
        <v>-4975</v>
      </c>
      <c r="H26" s="116">
        <v>-5390</v>
      </c>
      <c r="I26" s="116">
        <v>-6819</v>
      </c>
      <c r="J26" s="116">
        <v>-9309</v>
      </c>
      <c r="K26" s="116">
        <v>-8015</v>
      </c>
      <c r="L26" s="116">
        <v>-8953</v>
      </c>
      <c r="M26" s="116">
        <v>-10034</v>
      </c>
      <c r="N26" s="116">
        <v>-13101</v>
      </c>
    </row>
    <row r="27" spans="2:14" x14ac:dyDescent="0.35">
      <c r="B27" s="8" t="s">
        <v>104</v>
      </c>
      <c r="C27" s="125">
        <v>2</v>
      </c>
      <c r="D27" s="125">
        <v>2</v>
      </c>
      <c r="E27" s="109">
        <v>0</v>
      </c>
      <c r="F27" s="109">
        <v>0</v>
      </c>
      <c r="G27" s="109">
        <v>0</v>
      </c>
      <c r="H27" s="109">
        <v>0</v>
      </c>
      <c r="I27" s="109">
        <v>0</v>
      </c>
      <c r="J27" s="109">
        <v>0</v>
      </c>
      <c r="K27" s="109">
        <v>0</v>
      </c>
      <c r="L27" s="109">
        <v>0</v>
      </c>
      <c r="M27" s="109">
        <v>0</v>
      </c>
      <c r="N27" s="109">
        <v>0</v>
      </c>
    </row>
    <row r="28" spans="2:14" x14ac:dyDescent="0.35">
      <c r="B28" s="8" t="s">
        <v>105</v>
      </c>
      <c r="C28" s="125">
        <v>0</v>
      </c>
      <c r="D28" s="125">
        <v>0</v>
      </c>
      <c r="E28" s="109">
        <v>177</v>
      </c>
      <c r="F28" s="109">
        <v>460</v>
      </c>
      <c r="G28" s="109">
        <v>0</v>
      </c>
      <c r="H28" s="109">
        <v>99</v>
      </c>
      <c r="I28" s="109">
        <v>0</v>
      </c>
      <c r="J28" s="109">
        <v>188</v>
      </c>
      <c r="K28" s="109">
        <v>55</v>
      </c>
      <c r="L28" s="109">
        <v>286</v>
      </c>
      <c r="M28" s="109">
        <v>0</v>
      </c>
      <c r="N28" s="109">
        <v>0</v>
      </c>
    </row>
    <row r="29" spans="2:14" x14ac:dyDescent="0.35">
      <c r="B29" s="8" t="s">
        <v>106</v>
      </c>
      <c r="C29" s="125">
        <v>-15</v>
      </c>
      <c r="D29" s="125">
        <v>-3</v>
      </c>
      <c r="E29" s="109">
        <v>0</v>
      </c>
      <c r="F29" s="109">
        <v>-360</v>
      </c>
      <c r="G29" s="109">
        <v>-277</v>
      </c>
      <c r="H29" s="109">
        <v>0</v>
      </c>
      <c r="I29" s="109">
        <v>-99</v>
      </c>
      <c r="J29" s="109">
        <v>-188</v>
      </c>
      <c r="K29" s="109">
        <v>-55</v>
      </c>
      <c r="L29" s="109">
        <v>-208</v>
      </c>
      <c r="M29" s="109">
        <v>-85</v>
      </c>
      <c r="N29" s="109">
        <v>0</v>
      </c>
    </row>
    <row r="30" spans="2:14" x14ac:dyDescent="0.35">
      <c r="B30" s="8" t="s">
        <v>107</v>
      </c>
      <c r="C30" s="126">
        <v>-29</v>
      </c>
      <c r="D30" s="126">
        <v>-18</v>
      </c>
      <c r="E30" s="8">
        <v>-2</v>
      </c>
      <c r="F30" s="8">
        <v>-14</v>
      </c>
      <c r="G30" s="8">
        <v>-6</v>
      </c>
      <c r="H30" s="8">
        <v>-7</v>
      </c>
      <c r="I30" s="8">
        <v>-90</v>
      </c>
      <c r="J30" s="8">
        <v>-92</v>
      </c>
      <c r="K30" s="8">
        <v>-82</v>
      </c>
      <c r="L30" s="8">
        <v>-88</v>
      </c>
      <c r="M30" s="109">
        <v>-110</v>
      </c>
      <c r="N30" s="109">
        <v>-130</v>
      </c>
    </row>
    <row r="31" spans="2:14" x14ac:dyDescent="0.35">
      <c r="B31" s="8" t="s">
        <v>108</v>
      </c>
      <c r="C31" s="125">
        <v>-2481</v>
      </c>
      <c r="D31" s="125">
        <v>-2912</v>
      </c>
      <c r="E31" s="109">
        <v>-3354</v>
      </c>
      <c r="F31" s="109">
        <v>-3572</v>
      </c>
      <c r="G31" s="109">
        <v>-3911</v>
      </c>
      <c r="H31" s="109">
        <v>-4554</v>
      </c>
      <c r="I31" s="109">
        <v>-5196</v>
      </c>
      <c r="J31" s="109">
        <v>-8811</v>
      </c>
      <c r="K31" s="109">
        <v>-7526</v>
      </c>
      <c r="L31" s="109">
        <v>-8474</v>
      </c>
      <c r="M31" s="109">
        <v>-9416</v>
      </c>
      <c r="N31" s="109">
        <v>-12473</v>
      </c>
    </row>
    <row r="32" spans="2:14" x14ac:dyDescent="0.35">
      <c r="B32" s="8" t="s">
        <v>109</v>
      </c>
      <c r="C32" s="126">
        <v>0</v>
      </c>
      <c r="D32" s="126">
        <v>0</v>
      </c>
      <c r="E32" s="8">
        <v>0</v>
      </c>
      <c r="F32" s="8">
        <v>0</v>
      </c>
      <c r="G32" s="8">
        <v>0</v>
      </c>
      <c r="H32" s="8">
        <v>0</v>
      </c>
      <c r="I32" s="8">
        <v>-373</v>
      </c>
      <c r="J32" s="8">
        <v>-406</v>
      </c>
      <c r="K32" s="109">
        <v>-407</v>
      </c>
      <c r="L32" s="109">
        <v>-467</v>
      </c>
      <c r="M32" s="109">
        <v>-423</v>
      </c>
      <c r="N32" s="109">
        <v>-996</v>
      </c>
    </row>
    <row r="33" spans="2:14" x14ac:dyDescent="0.35">
      <c r="B33" s="8" t="s">
        <v>110</v>
      </c>
      <c r="C33" s="125">
        <v>-437</v>
      </c>
      <c r="D33" s="125">
        <v>-533</v>
      </c>
      <c r="E33" s="109">
        <v>-685</v>
      </c>
      <c r="F33" s="109">
        <v>-728</v>
      </c>
      <c r="G33" s="8">
        <v>-781</v>
      </c>
      <c r="H33" s="109">
        <v>-928</v>
      </c>
      <c r="I33" s="109">
        <v>-1061</v>
      </c>
      <c r="J33" s="109">
        <v>0</v>
      </c>
      <c r="K33" s="109">
        <v>0</v>
      </c>
      <c r="L33" s="109">
        <v>-2</v>
      </c>
      <c r="M33" s="109">
        <v>0</v>
      </c>
      <c r="N33" s="109">
        <v>498</v>
      </c>
    </row>
    <row r="34" spans="2:14" x14ac:dyDescent="0.35">
      <c r="B34" s="115" t="s">
        <v>50</v>
      </c>
      <c r="C34" s="127">
        <v>383</v>
      </c>
      <c r="D34" s="127">
        <v>-33</v>
      </c>
      <c r="E34" s="115">
        <v>25</v>
      </c>
      <c r="F34" s="115">
        <v>-202</v>
      </c>
      <c r="G34" s="115">
        <v>21</v>
      </c>
      <c r="H34" s="115">
        <v>-28</v>
      </c>
      <c r="I34" s="116">
        <v>2595</v>
      </c>
      <c r="J34" s="116">
        <v>-1374</v>
      </c>
      <c r="K34" s="115">
        <v>-695</v>
      </c>
      <c r="L34" s="115">
        <v>-446</v>
      </c>
      <c r="M34" s="115">
        <v>111</v>
      </c>
      <c r="N34" s="116">
        <v>5258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36"/>
  <sheetViews>
    <sheetView workbookViewId="0">
      <pane xSplit="1" ySplit="3" topLeftCell="B20" activePane="bottomRight" state="frozen"/>
      <selection pane="topRight" activeCell="B1" sqref="B1"/>
      <selection pane="bottomLeft" activeCell="A4" sqref="A4"/>
      <selection pane="bottomRight" activeCell="E25" sqref="E25"/>
    </sheetView>
  </sheetViews>
  <sheetFormatPr defaultRowHeight="14.5" x14ac:dyDescent="0.35"/>
  <cols>
    <col min="1" max="1" width="1.90625" style="8" customWidth="1"/>
    <col min="2" max="2" width="23.1796875" style="8" bestFit="1" customWidth="1"/>
    <col min="3" max="16384" width="8.7265625" style="8"/>
  </cols>
  <sheetData>
    <row r="1" spans="2:14" ht="15.5" x14ac:dyDescent="0.35">
      <c r="B1" s="111" t="s">
        <v>219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</row>
    <row r="3" spans="2:14" x14ac:dyDescent="0.35">
      <c r="B3" s="113"/>
      <c r="C3" s="114">
        <v>41699</v>
      </c>
      <c r="D3" s="114">
        <v>42064</v>
      </c>
      <c r="E3" s="114">
        <v>42430</v>
      </c>
      <c r="F3" s="114">
        <v>42795</v>
      </c>
      <c r="G3" s="114">
        <v>43160</v>
      </c>
      <c r="H3" s="114">
        <v>43525</v>
      </c>
      <c r="I3" s="114">
        <v>43891</v>
      </c>
      <c r="J3" s="114">
        <v>44256</v>
      </c>
      <c r="K3" s="114">
        <v>44621</v>
      </c>
      <c r="L3" s="114">
        <v>44986</v>
      </c>
      <c r="M3" s="114">
        <v>45352</v>
      </c>
      <c r="N3" s="114">
        <v>45717</v>
      </c>
    </row>
    <row r="4" spans="2:14" x14ac:dyDescent="0.35">
      <c r="B4" s="136" t="s">
        <v>206</v>
      </c>
      <c r="C4" s="25">
        <v>216</v>
      </c>
      <c r="D4" s="25">
        <v>216</v>
      </c>
      <c r="E4" s="25">
        <v>216</v>
      </c>
      <c r="F4" s="25">
        <v>216</v>
      </c>
      <c r="G4" s="25">
        <v>216</v>
      </c>
      <c r="H4" s="25">
        <v>216</v>
      </c>
      <c r="I4" s="25">
        <v>216</v>
      </c>
      <c r="J4" s="25">
        <v>235</v>
      </c>
      <c r="K4" s="25">
        <v>235</v>
      </c>
      <c r="L4" s="25">
        <v>235</v>
      </c>
      <c r="M4" s="25">
        <v>235</v>
      </c>
      <c r="N4" s="25">
        <v>235</v>
      </c>
    </row>
    <row r="5" spans="2:14" x14ac:dyDescent="0.35">
      <c r="B5" s="11" t="s">
        <v>32</v>
      </c>
      <c r="C5" s="109">
        <v>3321</v>
      </c>
      <c r="D5" s="109">
        <v>3811</v>
      </c>
      <c r="E5" s="109">
        <v>6357</v>
      </c>
      <c r="F5" s="109">
        <v>6528</v>
      </c>
      <c r="G5" s="109">
        <v>7065</v>
      </c>
      <c r="H5" s="109">
        <v>7651</v>
      </c>
      <c r="I5" s="109">
        <v>8013</v>
      </c>
      <c r="J5" s="109">
        <v>47439</v>
      </c>
      <c r="K5" s="109">
        <v>48826</v>
      </c>
      <c r="L5" s="109">
        <v>50069</v>
      </c>
      <c r="M5" s="109">
        <v>50983</v>
      </c>
      <c r="N5" s="109">
        <v>49167</v>
      </c>
    </row>
    <row r="6" spans="2:14" x14ac:dyDescent="0.35">
      <c r="B6" s="11" t="s">
        <v>220</v>
      </c>
      <c r="C6" s="8">
        <v>46</v>
      </c>
      <c r="D6" s="8">
        <v>43</v>
      </c>
      <c r="E6" s="8">
        <v>177</v>
      </c>
      <c r="F6" s="8">
        <v>277</v>
      </c>
      <c r="G6" s="8">
        <v>0</v>
      </c>
      <c r="H6" s="8">
        <v>99</v>
      </c>
      <c r="I6" s="8">
        <v>0</v>
      </c>
      <c r="J6" s="8">
        <v>0</v>
      </c>
      <c r="K6" s="109">
        <v>1043</v>
      </c>
      <c r="L6" s="109">
        <v>1219</v>
      </c>
      <c r="M6" s="109">
        <v>1484</v>
      </c>
      <c r="N6" s="109">
        <v>1648</v>
      </c>
    </row>
    <row r="7" spans="2:14" x14ac:dyDescent="0.35">
      <c r="B7" s="11" t="s">
        <v>207</v>
      </c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</row>
    <row r="8" spans="2:14" x14ac:dyDescent="0.35">
      <c r="B8" s="8" t="s">
        <v>208</v>
      </c>
      <c r="C8" s="8">
        <v>22</v>
      </c>
      <c r="D8" s="8">
        <v>25</v>
      </c>
      <c r="E8" s="8">
        <v>20</v>
      </c>
      <c r="F8" s="8">
        <v>22</v>
      </c>
      <c r="G8" s="8">
        <v>20</v>
      </c>
      <c r="H8" s="8">
        <v>18</v>
      </c>
      <c r="I8" s="8">
        <v>17</v>
      </c>
      <c r="J8" s="8">
        <v>20</v>
      </c>
      <c r="K8" s="8">
        <v>26</v>
      </c>
      <c r="L8" s="8">
        <v>218</v>
      </c>
      <c r="M8" s="8">
        <v>205</v>
      </c>
      <c r="N8" s="8">
        <v>207</v>
      </c>
    </row>
    <row r="9" spans="2:14" x14ac:dyDescent="0.35">
      <c r="B9" s="8" t="s">
        <v>209</v>
      </c>
      <c r="C9" s="109">
        <v>5825</v>
      </c>
      <c r="D9" s="109">
        <v>5506</v>
      </c>
      <c r="E9" s="109">
        <v>5685</v>
      </c>
      <c r="F9" s="109">
        <v>6186</v>
      </c>
      <c r="G9" s="109">
        <v>7170</v>
      </c>
      <c r="H9" s="109">
        <v>7206</v>
      </c>
      <c r="I9" s="109">
        <v>7535</v>
      </c>
      <c r="J9" s="109">
        <v>8802</v>
      </c>
      <c r="K9" s="109">
        <v>9068</v>
      </c>
      <c r="L9" s="109">
        <v>9574</v>
      </c>
      <c r="M9" s="109">
        <v>10486</v>
      </c>
      <c r="N9" s="109">
        <v>11315</v>
      </c>
    </row>
    <row r="10" spans="2:14" x14ac:dyDescent="0.35">
      <c r="B10" s="8" t="s">
        <v>210</v>
      </c>
      <c r="C10" s="8">
        <v>37</v>
      </c>
      <c r="D10" s="8">
        <v>45</v>
      </c>
      <c r="E10" s="8">
        <v>45</v>
      </c>
      <c r="F10" s="8">
        <v>78</v>
      </c>
      <c r="G10" s="8">
        <v>62</v>
      </c>
      <c r="H10" s="8">
        <v>43</v>
      </c>
      <c r="I10" s="8">
        <v>158</v>
      </c>
      <c r="J10" s="8">
        <v>96</v>
      </c>
      <c r="K10" s="8">
        <v>119</v>
      </c>
      <c r="L10" s="8">
        <v>98</v>
      </c>
      <c r="M10" s="8">
        <v>91</v>
      </c>
    </row>
    <row r="11" spans="2:14" x14ac:dyDescent="0.35">
      <c r="B11" s="8" t="s">
        <v>211</v>
      </c>
      <c r="C11" s="109">
        <v>4287</v>
      </c>
      <c r="D11" s="109">
        <v>4783</v>
      </c>
      <c r="E11" s="109">
        <v>2293</v>
      </c>
      <c r="F11" s="109">
        <v>2399</v>
      </c>
      <c r="G11" s="109">
        <v>3329</v>
      </c>
      <c r="H11" s="109">
        <v>3396</v>
      </c>
      <c r="I11" s="109">
        <v>4214</v>
      </c>
      <c r="J11" s="109">
        <v>12148</v>
      </c>
      <c r="K11" s="109">
        <v>11189</v>
      </c>
      <c r="L11" s="109">
        <v>11664</v>
      </c>
      <c r="M11" s="109">
        <v>15005</v>
      </c>
      <c r="N11" s="109">
        <v>17308</v>
      </c>
    </row>
    <row r="12" spans="2:14" x14ac:dyDescent="0.35">
      <c r="B12" s="115" t="s">
        <v>212</v>
      </c>
      <c r="C12" s="116">
        <v>13754</v>
      </c>
      <c r="D12" s="116">
        <v>14430</v>
      </c>
      <c r="E12" s="116">
        <v>14793</v>
      </c>
      <c r="F12" s="116">
        <v>15706</v>
      </c>
      <c r="G12" s="116">
        <v>17862</v>
      </c>
      <c r="H12" s="116">
        <v>18629</v>
      </c>
      <c r="I12" s="116">
        <v>20153</v>
      </c>
      <c r="J12" s="116">
        <v>68740</v>
      </c>
      <c r="K12" s="116">
        <v>70506</v>
      </c>
      <c r="L12" s="116">
        <v>73077</v>
      </c>
      <c r="M12" s="116">
        <v>78489</v>
      </c>
      <c r="N12" s="116">
        <v>79880</v>
      </c>
    </row>
    <row r="13" spans="2:14" x14ac:dyDescent="0.35"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</row>
    <row r="14" spans="2:14" x14ac:dyDescent="0.35">
      <c r="B14" s="11" t="s">
        <v>229</v>
      </c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</row>
    <row r="15" spans="2:14" x14ac:dyDescent="0.35">
      <c r="B15" s="117" t="s">
        <v>230</v>
      </c>
      <c r="C15" s="109">
        <v>133</v>
      </c>
      <c r="D15" s="109">
        <v>102</v>
      </c>
      <c r="E15" s="109">
        <v>88</v>
      </c>
      <c r="F15" s="109">
        <v>89</v>
      </c>
      <c r="G15" s="109">
        <v>87</v>
      </c>
      <c r="H15" s="109">
        <v>86</v>
      </c>
      <c r="I15" s="109">
        <v>59</v>
      </c>
      <c r="J15" s="109">
        <v>477</v>
      </c>
      <c r="K15" s="109">
        <v>477</v>
      </c>
      <c r="L15" s="109">
        <v>609</v>
      </c>
      <c r="M15" s="109">
        <v>618</v>
      </c>
      <c r="N15" s="109"/>
    </row>
    <row r="16" spans="2:14" x14ac:dyDescent="0.35">
      <c r="B16" s="117" t="s">
        <v>231</v>
      </c>
      <c r="C16" s="109">
        <v>1133</v>
      </c>
      <c r="D16" s="109">
        <v>1173</v>
      </c>
      <c r="E16" s="109">
        <v>931</v>
      </c>
      <c r="F16" s="109">
        <v>1210</v>
      </c>
      <c r="G16" s="109">
        <v>1343</v>
      </c>
      <c r="H16" s="109">
        <v>1527</v>
      </c>
      <c r="I16" s="109">
        <v>2044</v>
      </c>
      <c r="J16" s="109">
        <v>2602</v>
      </c>
      <c r="K16" s="109">
        <v>2788</v>
      </c>
      <c r="L16" s="109">
        <v>3101</v>
      </c>
      <c r="M16" s="109">
        <v>3518</v>
      </c>
      <c r="N16" s="109"/>
    </row>
    <row r="17" spans="2:14" x14ac:dyDescent="0.35">
      <c r="B17" s="117" t="s">
        <v>232</v>
      </c>
      <c r="C17" s="109">
        <v>3176</v>
      </c>
      <c r="D17" s="109">
        <v>3481</v>
      </c>
      <c r="E17" s="109">
        <v>2370</v>
      </c>
      <c r="F17" s="109">
        <v>3270</v>
      </c>
      <c r="G17" s="109">
        <v>3691</v>
      </c>
      <c r="H17" s="109">
        <v>4092</v>
      </c>
      <c r="I17" s="109">
        <v>5001</v>
      </c>
      <c r="J17" s="109">
        <v>6097</v>
      </c>
      <c r="K17" s="109">
        <v>6566</v>
      </c>
      <c r="L17" s="109">
        <v>7612</v>
      </c>
      <c r="M17" s="109">
        <v>8832</v>
      </c>
      <c r="N17" s="109"/>
    </row>
    <row r="18" spans="2:14" x14ac:dyDescent="0.35">
      <c r="B18" s="117" t="s">
        <v>233</v>
      </c>
      <c r="C18" s="109">
        <v>104</v>
      </c>
      <c r="D18" s="109">
        <v>106</v>
      </c>
      <c r="E18" s="109">
        <v>41</v>
      </c>
      <c r="F18" s="109">
        <v>62</v>
      </c>
      <c r="G18" s="109">
        <v>74</v>
      </c>
      <c r="H18" s="109">
        <v>95</v>
      </c>
      <c r="I18" s="109">
        <v>139</v>
      </c>
      <c r="J18" s="109">
        <v>175</v>
      </c>
      <c r="K18" s="109">
        <v>181</v>
      </c>
      <c r="L18" s="109">
        <v>185</v>
      </c>
      <c r="M18" s="109">
        <v>206</v>
      </c>
      <c r="N18" s="109"/>
    </row>
    <row r="19" spans="2:14" x14ac:dyDescent="0.35">
      <c r="B19" s="117" t="s">
        <v>234</v>
      </c>
      <c r="C19" s="109">
        <v>102</v>
      </c>
      <c r="D19" s="109">
        <v>108</v>
      </c>
      <c r="E19" s="109">
        <v>61</v>
      </c>
      <c r="F19" s="109">
        <v>66</v>
      </c>
      <c r="G19" s="109">
        <v>76</v>
      </c>
      <c r="H19" s="109">
        <v>88</v>
      </c>
      <c r="I19" s="109">
        <v>154</v>
      </c>
      <c r="J19" s="109">
        <v>156</v>
      </c>
      <c r="K19" s="109">
        <v>152</v>
      </c>
      <c r="L19" s="109">
        <v>161</v>
      </c>
      <c r="M19" s="109">
        <v>165</v>
      </c>
      <c r="N19" s="109"/>
    </row>
    <row r="20" spans="2:14" x14ac:dyDescent="0.35">
      <c r="B20" s="117" t="s">
        <v>235</v>
      </c>
      <c r="C20" s="109">
        <v>0</v>
      </c>
      <c r="D20" s="109">
        <v>0</v>
      </c>
      <c r="E20" s="109">
        <v>0</v>
      </c>
      <c r="F20" s="109">
        <v>0</v>
      </c>
      <c r="G20" s="109">
        <v>0</v>
      </c>
      <c r="H20" s="109">
        <v>0</v>
      </c>
      <c r="I20" s="109">
        <v>0</v>
      </c>
      <c r="J20" s="109">
        <v>0</v>
      </c>
      <c r="K20" s="109">
        <v>0</v>
      </c>
      <c r="L20" s="109">
        <v>0</v>
      </c>
      <c r="M20" s="109">
        <v>0</v>
      </c>
      <c r="N20" s="109"/>
    </row>
    <row r="21" spans="2:14" x14ac:dyDescent="0.35">
      <c r="B21" s="117" t="s">
        <v>236</v>
      </c>
      <c r="C21" s="109">
        <v>2</v>
      </c>
      <c r="D21" s="109">
        <v>1</v>
      </c>
      <c r="E21" s="109">
        <v>0</v>
      </c>
      <c r="F21" s="109">
        <v>0</v>
      </c>
      <c r="G21" s="109">
        <v>0</v>
      </c>
      <c r="H21" s="109">
        <v>0</v>
      </c>
      <c r="I21" s="109">
        <v>0</v>
      </c>
      <c r="J21" s="109">
        <v>0</v>
      </c>
      <c r="K21" s="109">
        <v>0</v>
      </c>
      <c r="L21" s="109">
        <v>33</v>
      </c>
      <c r="M21" s="109">
        <v>37</v>
      </c>
      <c r="N21" s="109"/>
    </row>
    <row r="22" spans="2:14" x14ac:dyDescent="0.35">
      <c r="B22" s="117" t="s">
        <v>237</v>
      </c>
      <c r="C22" s="109">
        <v>247</v>
      </c>
      <c r="D22" s="109">
        <v>247</v>
      </c>
      <c r="E22" s="109">
        <v>85</v>
      </c>
      <c r="F22" s="109">
        <v>455</v>
      </c>
      <c r="G22" s="109">
        <v>455</v>
      </c>
      <c r="H22" s="109">
        <v>511</v>
      </c>
      <c r="I22" s="109">
        <v>511</v>
      </c>
      <c r="J22" s="109">
        <v>45262</v>
      </c>
      <c r="K22" s="109">
        <v>45262</v>
      </c>
      <c r="L22" s="109">
        <v>45692</v>
      </c>
      <c r="M22" s="109">
        <v>45692</v>
      </c>
      <c r="N22" s="109">
        <v>45710</v>
      </c>
    </row>
    <row r="23" spans="2:14" x14ac:dyDescent="0.35">
      <c r="B23" s="117" t="s">
        <v>238</v>
      </c>
      <c r="C23" s="109">
        <v>183</v>
      </c>
      <c r="D23" s="109">
        <v>193</v>
      </c>
      <c r="E23" s="109">
        <v>19</v>
      </c>
      <c r="F23" s="109">
        <v>19</v>
      </c>
      <c r="G23" s="109">
        <v>26</v>
      </c>
      <c r="H23" s="109">
        <v>60</v>
      </c>
      <c r="I23" s="109">
        <v>71</v>
      </c>
      <c r="J23" s="109">
        <v>155</v>
      </c>
      <c r="K23" s="109">
        <v>152</v>
      </c>
      <c r="L23" s="109">
        <v>171</v>
      </c>
      <c r="M23" s="109">
        <v>180</v>
      </c>
      <c r="N23" s="109">
        <f>M23+5</f>
        <v>185</v>
      </c>
    </row>
    <row r="24" spans="2:14" x14ac:dyDescent="0.35">
      <c r="B24" s="11" t="s">
        <v>239</v>
      </c>
      <c r="C24" s="109">
        <v>5079</v>
      </c>
      <c r="D24" s="109">
        <v>5412</v>
      </c>
      <c r="E24" s="109">
        <v>3595</v>
      </c>
      <c r="F24" s="109">
        <v>5171</v>
      </c>
      <c r="G24" s="109">
        <v>5752</v>
      </c>
      <c r="H24" s="109">
        <v>6459</v>
      </c>
      <c r="I24" s="109">
        <v>7979</v>
      </c>
      <c r="J24" s="109">
        <v>54924</v>
      </c>
      <c r="K24" s="109">
        <v>55578</v>
      </c>
      <c r="L24" s="109">
        <v>57564</v>
      </c>
      <c r="M24" s="109">
        <v>59248</v>
      </c>
      <c r="N24" s="109">
        <f>M24+2000</f>
        <v>61248</v>
      </c>
    </row>
    <row r="25" spans="2:14" x14ac:dyDescent="0.35">
      <c r="B25" s="11" t="s">
        <v>240</v>
      </c>
      <c r="C25" s="109">
        <v>2333</v>
      </c>
      <c r="D25" s="109">
        <v>2591</v>
      </c>
      <c r="E25" s="109">
        <v>337</v>
      </c>
      <c r="F25" s="109">
        <v>752</v>
      </c>
      <c r="G25" s="109">
        <v>1224</v>
      </c>
      <c r="H25" s="109">
        <v>1744</v>
      </c>
      <c r="I25" s="109">
        <v>2500</v>
      </c>
      <c r="J25" s="109">
        <v>3481</v>
      </c>
      <c r="K25" s="109">
        <v>4105</v>
      </c>
      <c r="L25" s="109">
        <v>4886</v>
      </c>
      <c r="M25" s="109">
        <v>5504</v>
      </c>
      <c r="N25" s="109">
        <f>M25+500</f>
        <v>6004</v>
      </c>
    </row>
    <row r="26" spans="2:14" x14ac:dyDescent="0.35">
      <c r="B26" s="11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</row>
    <row r="27" spans="2:14" x14ac:dyDescent="0.35">
      <c r="B27" s="11" t="s">
        <v>213</v>
      </c>
      <c r="C27" s="8">
        <v>373</v>
      </c>
      <c r="D27" s="8">
        <v>516</v>
      </c>
      <c r="E27" s="8">
        <v>408</v>
      </c>
      <c r="F27" s="8">
        <v>229</v>
      </c>
      <c r="G27" s="8">
        <v>461</v>
      </c>
      <c r="H27" s="8">
        <v>406</v>
      </c>
      <c r="I27" s="8">
        <v>597</v>
      </c>
      <c r="J27" s="8">
        <v>745</v>
      </c>
      <c r="K27" s="109">
        <v>1313</v>
      </c>
      <c r="L27" s="109">
        <v>1132</v>
      </c>
      <c r="M27" s="109">
        <v>1025</v>
      </c>
      <c r="N27" s="109">
        <v>1009</v>
      </c>
    </row>
    <row r="28" spans="2:14" x14ac:dyDescent="0.35">
      <c r="B28" s="11" t="s">
        <v>38</v>
      </c>
      <c r="C28" s="109">
        <v>2838</v>
      </c>
      <c r="D28" s="109">
        <v>3025</v>
      </c>
      <c r="E28" s="109">
        <v>2592</v>
      </c>
      <c r="F28" s="109">
        <v>3794</v>
      </c>
      <c r="G28" s="109">
        <v>2873</v>
      </c>
      <c r="H28" s="109">
        <v>2716</v>
      </c>
      <c r="I28" s="109">
        <v>1255</v>
      </c>
      <c r="J28" s="109">
        <v>2709</v>
      </c>
      <c r="K28" s="109">
        <v>3521</v>
      </c>
      <c r="L28" s="109">
        <v>2882</v>
      </c>
      <c r="M28" s="109">
        <v>4625</v>
      </c>
      <c r="N28" s="109">
        <v>3810</v>
      </c>
    </row>
    <row r="29" spans="2:14" x14ac:dyDescent="0.35">
      <c r="B29" s="11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</row>
    <row r="30" spans="2:14" x14ac:dyDescent="0.35">
      <c r="B30" s="11" t="s">
        <v>214</v>
      </c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</row>
    <row r="31" spans="2:14" x14ac:dyDescent="0.35">
      <c r="B31" s="8" t="s">
        <v>215</v>
      </c>
      <c r="C31" s="109">
        <v>2940</v>
      </c>
      <c r="D31" s="109">
        <v>2849</v>
      </c>
      <c r="E31" s="109">
        <v>2726</v>
      </c>
      <c r="F31" s="109">
        <v>2541</v>
      </c>
      <c r="G31" s="109">
        <v>2513</v>
      </c>
      <c r="H31" s="109">
        <v>2574</v>
      </c>
      <c r="I31" s="109">
        <v>2767</v>
      </c>
      <c r="J31" s="109">
        <v>3579</v>
      </c>
      <c r="K31" s="109">
        <v>4096</v>
      </c>
      <c r="L31" s="109">
        <v>4251</v>
      </c>
      <c r="M31" s="109">
        <v>4022</v>
      </c>
      <c r="N31" s="109">
        <v>4415</v>
      </c>
    </row>
    <row r="32" spans="2:14" x14ac:dyDescent="0.35">
      <c r="B32" s="8" t="s">
        <v>221</v>
      </c>
      <c r="C32" s="109">
        <v>1017</v>
      </c>
      <c r="D32" s="109">
        <v>1010</v>
      </c>
      <c r="E32" s="109">
        <v>1264</v>
      </c>
      <c r="F32" s="109">
        <v>1085</v>
      </c>
      <c r="G32" s="109">
        <v>1310</v>
      </c>
      <c r="H32" s="109">
        <v>1816</v>
      </c>
      <c r="I32" s="109">
        <v>1149</v>
      </c>
      <c r="J32" s="109">
        <v>1758</v>
      </c>
      <c r="K32" s="109">
        <v>2236</v>
      </c>
      <c r="L32" s="109">
        <v>3079</v>
      </c>
      <c r="M32" s="109">
        <v>2997</v>
      </c>
      <c r="N32" s="109">
        <v>3819</v>
      </c>
    </row>
    <row r="33" spans="2:14" x14ac:dyDescent="0.35">
      <c r="B33" s="8" t="s">
        <v>216</v>
      </c>
      <c r="C33" s="109">
        <v>2516</v>
      </c>
      <c r="D33" s="109">
        <v>2689</v>
      </c>
      <c r="E33" s="109">
        <v>3009</v>
      </c>
      <c r="F33" s="109">
        <v>1828</v>
      </c>
      <c r="G33" s="109">
        <v>3485</v>
      </c>
      <c r="H33" s="109">
        <v>3757</v>
      </c>
      <c r="I33" s="109">
        <v>5113</v>
      </c>
      <c r="J33" s="109">
        <v>4471</v>
      </c>
      <c r="K33" s="109">
        <v>3846</v>
      </c>
      <c r="L33" s="109">
        <v>4678</v>
      </c>
      <c r="M33" s="109">
        <v>7559</v>
      </c>
      <c r="N33" s="109">
        <v>7554</v>
      </c>
    </row>
    <row r="34" spans="2:14" x14ac:dyDescent="0.35">
      <c r="B34" s="8" t="s">
        <v>217</v>
      </c>
      <c r="C34" s="8">
        <v>0</v>
      </c>
      <c r="D34" s="8">
        <v>0</v>
      </c>
      <c r="E34" s="8">
        <v>0</v>
      </c>
      <c r="F34" s="8">
        <v>71</v>
      </c>
      <c r="G34" s="8">
        <v>40</v>
      </c>
      <c r="H34" s="8">
        <v>26</v>
      </c>
      <c r="I34" s="8">
        <v>19</v>
      </c>
      <c r="J34" s="8">
        <v>78</v>
      </c>
      <c r="K34" s="8">
        <v>170</v>
      </c>
      <c r="L34" s="8">
        <v>188</v>
      </c>
      <c r="M34" s="8">
        <v>172</v>
      </c>
      <c r="N34" s="8">
        <v>896</v>
      </c>
    </row>
    <row r="35" spans="2:14" x14ac:dyDescent="0.35">
      <c r="B35" s="8" t="s">
        <v>218</v>
      </c>
      <c r="C35" s="109">
        <v>1324</v>
      </c>
      <c r="D35" s="109">
        <v>1519</v>
      </c>
      <c r="E35" s="109">
        <v>1536</v>
      </c>
      <c r="F35" s="109">
        <v>1739</v>
      </c>
      <c r="G35" s="109">
        <v>2652</v>
      </c>
      <c r="H35" s="109">
        <v>2619</v>
      </c>
      <c r="I35" s="109">
        <v>3774</v>
      </c>
      <c r="J35" s="109">
        <v>3957</v>
      </c>
      <c r="K35" s="109">
        <v>3851</v>
      </c>
      <c r="L35" s="109">
        <v>4189</v>
      </c>
      <c r="M35" s="109">
        <v>4345</v>
      </c>
      <c r="N35" s="109">
        <v>4042</v>
      </c>
    </row>
    <row r="36" spans="2:14" x14ac:dyDescent="0.35">
      <c r="B36" s="115" t="s">
        <v>83</v>
      </c>
      <c r="C36" s="116">
        <v>13754</v>
      </c>
      <c r="D36" s="116">
        <v>14430</v>
      </c>
      <c r="E36" s="116">
        <v>14793</v>
      </c>
      <c r="F36" s="116">
        <v>15706</v>
      </c>
      <c r="G36" s="116">
        <v>17862</v>
      </c>
      <c r="H36" s="116">
        <v>18629</v>
      </c>
      <c r="I36" s="116">
        <v>20153</v>
      </c>
      <c r="J36" s="116">
        <v>68740</v>
      </c>
      <c r="K36" s="116">
        <v>70506</v>
      </c>
      <c r="L36" s="116">
        <v>73077</v>
      </c>
      <c r="M36" s="116">
        <v>78489</v>
      </c>
      <c r="N36" s="116">
        <v>79880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DCF --&gt;</vt:lpstr>
      <vt:lpstr>Dcf</vt:lpstr>
      <vt:lpstr>WACC</vt:lpstr>
      <vt:lpstr>Financials -&gt;</vt:lpstr>
      <vt:lpstr>HistoricalFS</vt:lpstr>
      <vt:lpstr>Ratio analysis</vt:lpstr>
      <vt:lpstr>Forecasting growth</vt:lpstr>
      <vt:lpstr>Intrinsic Growth</vt:lpstr>
      <vt:lpstr>FCFF Line Items forecast</vt:lpstr>
      <vt:lpstr>FCFF</vt:lpstr>
      <vt:lpstr>Data -&gt;</vt:lpstr>
      <vt:lpstr>Data Sheet</vt:lpstr>
      <vt:lpstr>Raw Cash Flow Data</vt:lpstr>
      <vt:lpstr>Raw BS data</vt:lpstr>
      <vt:lpstr>UPDATE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 Anvekar</dc:creator>
  <cp:lastModifiedBy>Harsh Anvekar</cp:lastModifiedBy>
  <dcterms:created xsi:type="dcterms:W3CDTF">2025-05-25T05:33:31Z</dcterms:created>
  <dcterms:modified xsi:type="dcterms:W3CDTF">2025-06-21T12:35:55Z</dcterms:modified>
</cp:coreProperties>
</file>